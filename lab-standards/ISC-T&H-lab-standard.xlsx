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mp;B Production Cooking" sheetId="1" state="visible" r:id="rId1"/>
    <sheet xmlns:r="http://schemas.openxmlformats.org/officeDocument/2006/relationships" name="Food and Beverage Service" sheetId="2" state="visible" r:id="rId2"/>
    <sheet xmlns:r="http://schemas.openxmlformats.org/officeDocument/2006/relationships" name="Housekeeping" sheetId="3" state="visible" r:id="rId3"/>
    <sheet xmlns:r="http://schemas.openxmlformats.org/officeDocument/2006/relationships" name="Bakery and Pastry Prod"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8"/>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Food And Beverage Production (Cooking)</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Food And Beverage Production (Cooking)</t>
        </is>
      </c>
      <c r="C8" s="4" t="inlineStr">
        <is>
          <t>Classroom – minimum 350 sft (33 sqm)
Workshop/ lab – 800 sft (75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Food And Beverage Production (Cooking),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Computers/ Laptop</t>
        </is>
      </c>
      <c r="C16" s="9" t="n">
        <v>1</v>
      </c>
      <c r="D16" s="9" t="n">
        <v>0</v>
      </c>
      <c r="E16" s="9" t="n">
        <v>5</v>
      </c>
      <c r="F16" s="9">
        <f>IFERROR(MIN(C16,D16)*E16/C16,0)</f>
        <v/>
      </c>
      <c r="G16" s="9" t="n"/>
    </row>
    <row r="17" ht="14.15" customHeight="1">
      <c r="A17" s="7" t="n">
        <v>2</v>
      </c>
      <c r="B17" s="8" t="inlineStr">
        <is>
          <t>Multimedia Projector</t>
        </is>
      </c>
      <c r="C17" s="9" t="n">
        <v>1</v>
      </c>
      <c r="D17" s="9" t="n">
        <v>0</v>
      </c>
      <c r="E17" s="9" t="n">
        <v>5</v>
      </c>
      <c r="F17" s="9">
        <f>IFERROR(MIN(C17,D17)*E17/C17,0)</f>
        <v/>
      </c>
      <c r="G17" s="9" t="n"/>
    </row>
    <row r="18" ht="14.15" customHeight="1">
      <c r="A18" s="7" t="n">
        <v>3</v>
      </c>
      <c r="B18" s="8" t="inlineStr">
        <is>
          <t>Cooking station (02 burner each station)</t>
        </is>
      </c>
      <c r="C18" s="9" t="n">
        <v>6</v>
      </c>
      <c r="D18" s="9" t="n">
        <v>0</v>
      </c>
      <c r="E18" s="9" t="n">
        <v>9</v>
      </c>
      <c r="F18" s="9">
        <f>IFERROR(MIN(C18,D18)*E18/C18,0)</f>
        <v/>
      </c>
      <c r="G18" s="9" t="n"/>
    </row>
    <row r="19" ht="14.15" customHeight="1">
      <c r="A19" s="7" t="n">
        <v>4</v>
      </c>
      <c r="B19" s="8" t="inlineStr">
        <is>
          <t>Electric and induction stoves</t>
        </is>
      </c>
      <c r="C19" s="9" t="n">
        <v>5</v>
      </c>
      <c r="D19" s="9" t="n">
        <v>0</v>
      </c>
      <c r="E19" s="9" t="n">
        <v>9</v>
      </c>
      <c r="F19" s="9">
        <f>IFERROR(MIN(C19,D19)*E19/C19,0)</f>
        <v/>
      </c>
      <c r="G19" s="9" t="n"/>
    </row>
    <row r="20" ht="14.15" customHeight="1">
      <c r="A20" s="7" t="n">
        <v>5</v>
      </c>
      <c r="B20" s="8" t="inlineStr">
        <is>
          <t>Food processors</t>
        </is>
      </c>
      <c r="C20" s="9" t="n">
        <v>2</v>
      </c>
      <c r="D20" s="9" t="n">
        <v>0</v>
      </c>
      <c r="E20" s="9" t="n">
        <v>7</v>
      </c>
      <c r="F20" s="9">
        <f>IFERROR(MIN(C20,D20)*E20/C20,0)</f>
        <v/>
      </c>
      <c r="G20" s="9" t="n"/>
    </row>
    <row r="21" ht="14.15" customHeight="1">
      <c r="A21" s="7" t="n">
        <v>6</v>
      </c>
      <c r="B21" s="8" t="inlineStr">
        <is>
          <t>Blender Machine</t>
        </is>
      </c>
      <c r="C21" s="9" t="n">
        <v>3</v>
      </c>
      <c r="D21" s="9" t="n">
        <v>0</v>
      </c>
      <c r="E21" s="9" t="n">
        <v>6</v>
      </c>
      <c r="F21" s="9">
        <f>IFERROR(MIN(C21,D21)*E21/C21,0)</f>
        <v/>
      </c>
      <c r="G21" s="9" t="n"/>
    </row>
    <row r="22" ht="14.15" customHeight="1">
      <c r="A22" s="7" t="n">
        <v>7</v>
      </c>
      <c r="B22" s="8" t="inlineStr">
        <is>
          <t>Refrigerator (200-300 L)</t>
        </is>
      </c>
      <c r="C22" s="9" t="n">
        <v>2</v>
      </c>
      <c r="D22" s="9" t="n">
        <v>0</v>
      </c>
      <c r="E22" s="9" t="n">
        <v>8</v>
      </c>
      <c r="F22" s="9">
        <f>IFERROR(MIN(C22,D22)*E22/C22,0)</f>
        <v/>
      </c>
      <c r="G22" s="9" t="n"/>
    </row>
    <row r="23" ht="14.15" customHeight="1">
      <c r="A23" s="7" t="n">
        <v>8</v>
      </c>
      <c r="B23" s="8" t="inlineStr">
        <is>
          <t>Freezers (200-300 L)</t>
        </is>
      </c>
      <c r="C23" s="9" t="n">
        <v>1</v>
      </c>
      <c r="D23" s="9" t="n">
        <v>0</v>
      </c>
      <c r="E23" s="9" t="n">
        <v>7</v>
      </c>
      <c r="F23" s="9">
        <f>IFERROR(MIN(C23,D23)*E23/C23,0)</f>
        <v/>
      </c>
      <c r="G23" s="9" t="n"/>
    </row>
    <row r="24" ht="14.15" customHeight="1">
      <c r="A24" s="7" t="n">
        <v>9</v>
      </c>
      <c r="B24" s="8" t="inlineStr">
        <is>
          <t>Microwave oven</t>
        </is>
      </c>
      <c r="C24" s="9" t="n">
        <v>2</v>
      </c>
      <c r="D24" s="9" t="n">
        <v>0</v>
      </c>
      <c r="E24" s="9" t="n">
        <v>6</v>
      </c>
      <c r="F24" s="9">
        <f>IFERROR(MIN(C24,D24)*E24/C24,0)</f>
        <v/>
      </c>
      <c r="G24" s="9" t="n"/>
    </row>
    <row r="25" ht="14.15" customHeight="1">
      <c r="A25" s="7" t="n">
        <v>10</v>
      </c>
      <c r="B25" s="8" t="inlineStr">
        <is>
          <t>Griller</t>
        </is>
      </c>
      <c r="C25" s="9" t="n">
        <v>1</v>
      </c>
      <c r="D25" s="9" t="n">
        <v>0</v>
      </c>
      <c r="E25" s="9" t="n">
        <v>6</v>
      </c>
      <c r="F25" s="9">
        <f>IFERROR(MIN(C25,D25)*E25/C25,0)</f>
        <v/>
      </c>
      <c r="G25" s="9" t="n"/>
    </row>
    <row r="26" ht="14.15" customHeight="1">
      <c r="A26" s="7" t="n">
        <v>11</v>
      </c>
      <c r="B26" s="8" t="inlineStr">
        <is>
          <t>Meat mincer</t>
        </is>
      </c>
      <c r="C26" s="9" t="n">
        <v>1</v>
      </c>
      <c r="D26" s="9" t="n">
        <v>0</v>
      </c>
      <c r="E26" s="9" t="n">
        <v>6</v>
      </c>
      <c r="F26" s="9">
        <f>IFERROR(MIN(C26,D26)*E26/C26,0)</f>
        <v/>
      </c>
      <c r="G26" s="9" t="n"/>
    </row>
    <row r="27" ht="14.15" customHeight="1">
      <c r="A27" s="7" t="n">
        <v>12</v>
      </c>
      <c r="B27" s="8" t="inlineStr">
        <is>
          <t>Convection Oven/Deck oven</t>
        </is>
      </c>
      <c r="C27" s="9" t="n">
        <v>1</v>
      </c>
      <c r="D27" s="9" t="n">
        <v>0</v>
      </c>
      <c r="E27" s="9" t="n">
        <v>9</v>
      </c>
      <c r="F27" s="9">
        <f>IFERROR(MIN(C27,D27)*E27/C27,0)</f>
        <v/>
      </c>
      <c r="G27" s="9" t="n"/>
    </row>
    <row r="28" ht="14.15" customHeight="1">
      <c r="A28" s="7" t="n">
        <v>13</v>
      </c>
      <c r="B28" s="8" t="inlineStr">
        <is>
          <t>Working table (preferred size – 6ft x 3ft)</t>
        </is>
      </c>
      <c r="C28" s="9" t="n">
        <v>5</v>
      </c>
      <c r="D28" s="9" t="n">
        <v>0</v>
      </c>
      <c r="E28" s="9" t="n">
        <v>7</v>
      </c>
      <c r="F28" s="9">
        <f>IFERROR(MIN(C28,D28)*E28/C28,0)</f>
        <v/>
      </c>
      <c r="G28" s="9" t="n"/>
    </row>
    <row r="29" ht="14.15" customHeight="1">
      <c r="A29" s="7" t="n">
        <v>14</v>
      </c>
      <c r="B29" s="8" t="inlineStr">
        <is>
          <t>Table with Sink</t>
        </is>
      </c>
      <c r="C29" s="9" t="n">
        <v>2</v>
      </c>
      <c r="D29" s="9" t="n">
        <v>0</v>
      </c>
      <c r="E29" s="9" t="n">
        <v>6</v>
      </c>
      <c r="F29" s="9">
        <f>IFERROR(MIN(C29,D29)*E29/C29,0)</f>
        <v/>
      </c>
      <c r="G29" s="9" t="n"/>
    </row>
    <row r="30" ht="14.15" customHeight="1">
      <c r="A30" s="7" t="n">
        <v>15</v>
      </c>
      <c r="B30" s="8" t="inlineStr">
        <is>
          <t>Hand wash Sink</t>
        </is>
      </c>
      <c r="C30" s="9" t="n">
        <v>1</v>
      </c>
      <c r="D30" s="9" t="n">
        <v>0</v>
      </c>
      <c r="E30" s="9" t="n">
        <v>5</v>
      </c>
      <c r="F30" s="9">
        <f>IFERROR(MIN(C30,D30)*E30/C30,0)</f>
        <v/>
      </c>
      <c r="G30" s="9" t="n"/>
    </row>
    <row r="31" ht="14.15" customHeight="1">
      <c r="A31" s="7" t="n">
        <v>16</v>
      </c>
      <c r="B31" s="8" t="inlineStr">
        <is>
          <t>Frying pan (24cm)</t>
        </is>
      </c>
      <c r="C31" s="9" t="n">
        <v>12</v>
      </c>
      <c r="D31" s="9" t="n">
        <v>0</v>
      </c>
      <c r="E31" s="9" t="n">
        <v>4</v>
      </c>
      <c r="F31" s="9">
        <f>IFERROR(MIN(C31,D31)*E31/C31,0)</f>
        <v/>
      </c>
      <c r="G31" s="9" t="n"/>
    </row>
    <row r="32" ht="14.15" customHeight="1">
      <c r="A32" s="7" t="n">
        <v>17</v>
      </c>
      <c r="B32" s="8" t="inlineStr">
        <is>
          <t>Cooking pan (medium size)</t>
        </is>
      </c>
      <c r="C32" s="9" t="n">
        <v>12</v>
      </c>
      <c r="D32" s="9" t="n">
        <v>0</v>
      </c>
      <c r="E32" s="9" t="n">
        <v>4</v>
      </c>
      <c r="F32" s="9">
        <f>IFERROR(MIN(C32,D32)*E32/C32,0)</f>
        <v/>
      </c>
      <c r="G32" s="9" t="n"/>
    </row>
    <row r="33" ht="14.15" customHeight="1">
      <c r="A33" s="7" t="n">
        <v>18</v>
      </c>
      <c r="B33" s="8" t="inlineStr">
        <is>
          <t>Weighing Scale (Preferred capacity 10 kg)</t>
        </is>
      </c>
      <c r="C33" s="9" t="n">
        <v>1</v>
      </c>
      <c r="D33" s="9" t="n">
        <v>0</v>
      </c>
      <c r="E33" s="9" t="n">
        <v>4</v>
      </c>
      <c r="F33" s="9">
        <f>IFERROR(MIN(C33,D33)*E33/C33,0)</f>
        <v/>
      </c>
      <c r="G33" s="9" t="n"/>
    </row>
    <row r="34" ht="14.15" customHeight="1">
      <c r="A34" s="7" t="n">
        <v>19</v>
      </c>
      <c r="B34" s="8" t="inlineStr">
        <is>
          <t>Weighing Scale (Preferred capacity 1 kg)</t>
        </is>
      </c>
      <c r="C34" s="9" t="n">
        <v>5</v>
      </c>
      <c r="D34" s="9" t="n">
        <v>0</v>
      </c>
      <c r="E34" s="9" t="n">
        <v>4</v>
      </c>
      <c r="F34" s="9">
        <f>IFERROR(MIN(C34,D34)*E34/C34,0)</f>
        <v/>
      </c>
      <c r="G34" s="9" t="n"/>
    </row>
    <row r="35">
      <c r="A35" s="10" t="inlineStr">
        <is>
          <t>Sum</t>
        </is>
      </c>
      <c r="B35" s="11" t="n"/>
      <c r="C35" s="11" t="n"/>
      <c r="D35" s="12" t="n"/>
      <c r="E35" s="10">
        <f>SUM(E16:E34)</f>
        <v/>
      </c>
      <c r="F35" s="10">
        <f>SUM(F16:F34)</f>
        <v/>
      </c>
      <c r="G35" s="13" t="n"/>
    </row>
    <row r="36">
      <c r="A36" s="10" t="inlineStr">
        <is>
          <t>Score out of 100</t>
        </is>
      </c>
      <c r="B36" s="11" t="n"/>
      <c r="C36" s="11" t="n"/>
      <c r="D36" s="11" t="n"/>
      <c r="E36" s="12" t="n"/>
      <c r="F36" s="10">
        <f>F35/E35*100</f>
        <v/>
      </c>
      <c r="G36" s="13" t="n"/>
    </row>
    <row r="37" ht="9.75" customHeight="1"/>
    <row r="38">
      <c r="A38" s="10" t="inlineStr">
        <is>
          <t xml:space="preserve">Total achieved points out of 30  </t>
        </is>
      </c>
      <c r="B38" s="11" t="n"/>
      <c r="C38" s="11" t="n"/>
      <c r="D38" s="11" t="n"/>
      <c r="E38" s="12" t="n"/>
      <c r="F38" s="10">
        <f>F36*30/100</f>
        <v/>
      </c>
      <c r="G38" s="10" t="inlineStr">
        <is>
          <t>Points</t>
        </is>
      </c>
    </row>
  </sheetData>
  <mergeCells count="8">
    <mergeCell ref="A13:G13"/>
    <mergeCell ref="C7:G7"/>
    <mergeCell ref="A1:G1"/>
    <mergeCell ref="A38:E38"/>
    <mergeCell ref="A35:D35"/>
    <mergeCell ref="A36:E36"/>
    <mergeCell ref="C8:G8"/>
    <mergeCell ref="A37:G3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0"/>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Food and Beverage Service</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Food and Beverage Service</t>
        </is>
      </c>
      <c r="C8" s="4" t="inlineStr">
        <is>
          <t>Classroom – 350 sft (33 sqm)
Workshop/ lab – 800 sft (75 sq) OR
Classroom cum workshop – 1000 sft (93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Food and Beverage Service,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Computers/ Laptop</t>
        </is>
      </c>
      <c r="C16" s="9" t="n">
        <v>1</v>
      </c>
      <c r="D16" s="9" t="n">
        <v>0</v>
      </c>
      <c r="E16" s="9" t="n">
        <v>5</v>
      </c>
      <c r="F16" s="9">
        <f>IFERROR(MIN(C16,D16)*E16/C16,0)</f>
        <v/>
      </c>
      <c r="G16" s="9" t="n"/>
    </row>
    <row r="17" ht="14.15" customHeight="1">
      <c r="A17" s="7" t="n">
        <v>2</v>
      </c>
      <c r="B17" s="8" t="inlineStr">
        <is>
          <t>Multimedia Projector</t>
        </is>
      </c>
      <c r="C17" s="9" t="n">
        <v>1</v>
      </c>
      <c r="D17" s="9" t="n">
        <v>0</v>
      </c>
      <c r="E17" s="9" t="n">
        <v>5</v>
      </c>
      <c r="F17" s="9">
        <f>IFERROR(MIN(C17,D17)*E17/C17,0)</f>
        <v/>
      </c>
      <c r="G17" s="9" t="n"/>
    </row>
    <row r="18" ht="14.15" customHeight="1">
      <c r="A18" s="7" t="n">
        <v>3</v>
      </c>
      <c r="B18" s="8" t="inlineStr">
        <is>
          <t>Service counter</t>
        </is>
      </c>
      <c r="C18" s="9" t="n">
        <v>1</v>
      </c>
      <c r="D18" s="9" t="n">
        <v>0</v>
      </c>
      <c r="E18" s="9" t="n">
        <v>8</v>
      </c>
      <c r="F18" s="9">
        <f>IFERROR(MIN(C18,D18)*E18/C18,0)</f>
        <v/>
      </c>
      <c r="G18" s="9" t="n"/>
    </row>
    <row r="19" ht="14.15" customHeight="1">
      <c r="A19" s="7" t="n">
        <v>4</v>
      </c>
      <c r="B19" s="8" t="inlineStr">
        <is>
          <t>Juicer</t>
        </is>
      </c>
      <c r="C19" s="9" t="n">
        <v>1</v>
      </c>
      <c r="D19" s="9" t="n">
        <v>0</v>
      </c>
      <c r="E19" s="9" t="n">
        <v>6</v>
      </c>
      <c r="F19" s="9">
        <f>IFERROR(MIN(C19,D19)*E19/C19,0)</f>
        <v/>
      </c>
      <c r="G19" s="9" t="n"/>
    </row>
    <row r="20" ht="14.15" customHeight="1">
      <c r="A20" s="7" t="n">
        <v>5</v>
      </c>
      <c r="B20" s="8" t="inlineStr">
        <is>
          <t>Table</t>
        </is>
      </c>
      <c r="C20" s="9" t="n">
        <v>4</v>
      </c>
      <c r="D20" s="9" t="n">
        <v>0</v>
      </c>
      <c r="E20" s="9" t="n">
        <v>5</v>
      </c>
      <c r="F20" s="9">
        <f>IFERROR(MIN(C20,D20)*E20/C20,0)</f>
        <v/>
      </c>
      <c r="G20" s="9" t="n"/>
    </row>
    <row r="21" ht="14.15" customHeight="1">
      <c r="A21" s="7" t="n">
        <v>6</v>
      </c>
      <c r="B21" s="8" t="inlineStr">
        <is>
          <t>Chair</t>
        </is>
      </c>
      <c r="C21" s="9" t="n">
        <v>16</v>
      </c>
      <c r="D21" s="9" t="n">
        <v>0</v>
      </c>
      <c r="E21" s="9" t="n">
        <v>4</v>
      </c>
      <c r="F21" s="9">
        <f>IFERROR(MIN(C21,D21)*E21/C21,0)</f>
        <v/>
      </c>
      <c r="G21" s="9" t="n"/>
    </row>
    <row r="22" ht="14.15" customHeight="1">
      <c r="A22" s="7" t="n">
        <v>7</v>
      </c>
      <c r="B22" s="8" t="inlineStr">
        <is>
          <t>Crockeries (Dinner plate, appetizer plate, dessert plate, BB plate, soup cup, soup saucer, tea cup and saucer)</t>
        </is>
      </c>
      <c r="C22" s="9" t="n">
        <v>20</v>
      </c>
      <c r="D22" s="9" t="n">
        <v>0</v>
      </c>
      <c r="E22" s="9" t="n">
        <v>7</v>
      </c>
      <c r="F22" s="9">
        <f>IFERROR(MIN(C22,D22)*E22/C22,0)</f>
        <v/>
      </c>
      <c r="G22" s="9" t="inlineStr">
        <is>
          <t>20 set</t>
        </is>
      </c>
    </row>
    <row r="23" ht="14.15" customHeight="1">
      <c r="A23" s="7" t="n">
        <v>8</v>
      </c>
      <c r="B23" s="8" t="inlineStr">
        <is>
          <t>Cutleries (Table knife, table fork, table spoon, soup spoon, dessert spoon, dessert fork, butter knife,</t>
        </is>
      </c>
      <c r="C23" s="9" t="n">
        <v>20</v>
      </c>
      <c r="D23" s="9" t="n">
        <v>0</v>
      </c>
      <c r="E23" s="9" t="n">
        <v>7</v>
      </c>
      <c r="F23" s="9">
        <f>IFERROR(MIN(C23,D23)*E23/C23,0)</f>
        <v/>
      </c>
      <c r="G23" s="9" t="inlineStr">
        <is>
          <t>20 set</t>
        </is>
      </c>
    </row>
    <row r="24" ht="14.15" customHeight="1">
      <c r="A24" s="7" t="n">
        <v>9</v>
      </c>
      <c r="B24" s="8" t="inlineStr">
        <is>
          <t>Glassware (Water goblet, Red and white wine glasses, hi-ball, Juice glass)</t>
        </is>
      </c>
      <c r="C24" s="9" t="n">
        <v>20</v>
      </c>
      <c r="D24" s="9" t="n">
        <v>0</v>
      </c>
      <c r="E24" s="9" t="n">
        <v>7</v>
      </c>
      <c r="F24" s="9">
        <f>IFERROR(MIN(C24,D24)*E24/C24,0)</f>
        <v/>
      </c>
      <c r="G24" s="9" t="inlineStr">
        <is>
          <t>20 set</t>
        </is>
      </c>
    </row>
    <row r="25" ht="14.15" customHeight="1">
      <c r="A25" s="7" t="n">
        <v>10</v>
      </c>
      <c r="B25" s="8" t="inlineStr">
        <is>
          <t>Hand wash Sink</t>
        </is>
      </c>
      <c r="C25" s="9" t="n">
        <v>1</v>
      </c>
      <c r="D25" s="9" t="n">
        <v>0</v>
      </c>
      <c r="E25" s="9" t="n">
        <v>5</v>
      </c>
      <c r="F25" s="9">
        <f>IFERROR(MIN(C25,D25)*E25/C25,0)</f>
        <v/>
      </c>
      <c r="G25" s="9" t="n"/>
    </row>
    <row r="26" ht="14.15" customHeight="1">
      <c r="A26" s="7" t="n">
        <v>11</v>
      </c>
      <c r="B26" s="8" t="inlineStr">
        <is>
          <t>Silencer</t>
        </is>
      </c>
      <c r="C26" s="9" t="n">
        <v>4</v>
      </c>
      <c r="D26" s="9" t="n">
        <v>0</v>
      </c>
      <c r="E26" s="9" t="n">
        <v>4</v>
      </c>
      <c r="F26" s="9">
        <f>IFERROR(MIN(C26,D26)*E26/C26,0)</f>
        <v/>
      </c>
      <c r="G26" s="9" t="n"/>
    </row>
    <row r="27" ht="14.15" customHeight="1">
      <c r="A27" s="7" t="n">
        <v>12</v>
      </c>
      <c r="B27" s="8" t="inlineStr">
        <is>
          <t>Table cloth</t>
        </is>
      </c>
      <c r="C27" s="9" t="n">
        <v>4</v>
      </c>
      <c r="D27" s="9" t="n">
        <v>0</v>
      </c>
      <c r="E27" s="9" t="n">
        <v>4</v>
      </c>
      <c r="F27" s="9">
        <f>IFERROR(MIN(C27,D27)*E27/C27,0)</f>
        <v/>
      </c>
      <c r="G27" s="9" t="n"/>
    </row>
    <row r="28" ht="14.15" customHeight="1">
      <c r="A28" s="7" t="n">
        <v>13</v>
      </c>
      <c r="B28" s="8" t="inlineStr">
        <is>
          <t>Napkin</t>
        </is>
      </c>
      <c r="C28" s="9" t="n">
        <v>20</v>
      </c>
      <c r="D28" s="9" t="n">
        <v>0</v>
      </c>
      <c r="E28" s="9" t="n">
        <v>3</v>
      </c>
      <c r="F28" s="9">
        <f>IFERROR(MIN(C28,D28)*E28/C28,0)</f>
        <v/>
      </c>
      <c r="G28" s="9" t="n"/>
    </row>
    <row r="29" ht="14.15" customHeight="1">
      <c r="A29" s="7" t="n">
        <v>14</v>
      </c>
      <c r="B29" s="8" t="inlineStr">
        <is>
          <t>Table top</t>
        </is>
      </c>
      <c r="C29" s="9" t="n">
        <v>4</v>
      </c>
      <c r="D29" s="9" t="n">
        <v>0</v>
      </c>
      <c r="E29" s="9" t="n">
        <v>4</v>
      </c>
      <c r="F29" s="9">
        <f>IFERROR(MIN(C29,D29)*E29/C29,0)</f>
        <v/>
      </c>
      <c r="G29" s="9" t="n"/>
    </row>
    <row r="30" ht="14.15" customHeight="1">
      <c r="A30" s="7" t="n">
        <v>15</v>
      </c>
      <c r="B30" s="8" t="inlineStr">
        <is>
          <t>Place mat</t>
        </is>
      </c>
      <c r="C30" s="9" t="n">
        <v>1</v>
      </c>
      <c r="D30" s="9" t="n">
        <v>0</v>
      </c>
      <c r="E30" s="9" t="n">
        <v>3</v>
      </c>
      <c r="F30" s="9">
        <f>IFERROR(MIN(C30,D30)*E30/C30,0)</f>
        <v/>
      </c>
      <c r="G30" s="9" t="n"/>
    </row>
    <row r="31" ht="14.15" customHeight="1">
      <c r="A31" s="7" t="n">
        <v>16</v>
      </c>
      <c r="B31" s="8" t="inlineStr">
        <is>
          <t>Runner</t>
        </is>
      </c>
      <c r="C31" s="9" t="n">
        <v>12</v>
      </c>
      <c r="D31" s="9" t="n">
        <v>0</v>
      </c>
      <c r="E31" s="9" t="n">
        <v>3</v>
      </c>
      <c r="F31" s="9">
        <f>IFERROR(MIN(C31,D31)*E31/C31,0)</f>
        <v/>
      </c>
      <c r="G31" s="9" t="n"/>
    </row>
    <row r="32" ht="14.15" customHeight="1">
      <c r="A32" s="7" t="n">
        <v>17</v>
      </c>
      <c r="B32" s="8" t="inlineStr">
        <is>
          <t>Waiter cloth</t>
        </is>
      </c>
      <c r="C32" s="9" t="n">
        <v>30</v>
      </c>
      <c r="D32" s="9" t="n">
        <v>0</v>
      </c>
      <c r="E32" s="9" t="n">
        <v>3</v>
      </c>
      <c r="F32" s="9">
        <f>IFERROR(MIN(C32,D32)*E32/C32,0)</f>
        <v/>
      </c>
      <c r="G32" s="9" t="n"/>
    </row>
    <row r="33" ht="14.15" customHeight="1">
      <c r="A33" s="7" t="n">
        <v>18</v>
      </c>
      <c r="B33" s="8" t="inlineStr">
        <is>
          <t>Duster</t>
        </is>
      </c>
      <c r="C33" s="9" t="n">
        <v>10</v>
      </c>
      <c r="D33" s="9" t="n">
        <v>0</v>
      </c>
      <c r="E33" s="9" t="n">
        <v>3</v>
      </c>
      <c r="F33" s="9">
        <f>IFERROR(MIN(C33,D33)*E33/C33,0)</f>
        <v/>
      </c>
      <c r="G33" s="9" t="n"/>
    </row>
    <row r="34" ht="14.15" customHeight="1">
      <c r="A34" s="7" t="n">
        <v>19</v>
      </c>
      <c r="B34" s="8" t="inlineStr">
        <is>
          <t>Bill folder</t>
        </is>
      </c>
      <c r="C34" s="9" t="n">
        <v>4</v>
      </c>
      <c r="D34" s="9" t="n">
        <v>0</v>
      </c>
      <c r="E34" s="9" t="n">
        <v>4</v>
      </c>
      <c r="F34" s="9">
        <f>IFERROR(MIN(C34,D34)*E34/C34,0)</f>
        <v/>
      </c>
      <c r="G34" s="9" t="n"/>
    </row>
    <row r="35" ht="14.15" customHeight="1">
      <c r="A35" s="7" t="n">
        <v>20</v>
      </c>
      <c r="B35" s="8" t="inlineStr">
        <is>
          <t>Menu card</t>
        </is>
      </c>
      <c r="C35" s="9" t="n">
        <v>16</v>
      </c>
      <c r="D35" s="9" t="n">
        <v>0</v>
      </c>
      <c r="E35" s="9" t="n">
        <v>4</v>
      </c>
      <c r="F35" s="9">
        <f>IFERROR(MIN(C35,D35)*E35/C35,0)</f>
        <v/>
      </c>
      <c r="G35" s="9" t="n"/>
    </row>
    <row r="36" ht="14.15" customHeight="1">
      <c r="A36" s="7" t="n">
        <v>21</v>
      </c>
      <c r="B36" s="8" t="inlineStr">
        <is>
          <t>KOT (Kitchen Order Token)</t>
        </is>
      </c>
      <c r="C36" s="9" t="n">
        <v>10</v>
      </c>
      <c r="D36" s="9" t="n">
        <v>0</v>
      </c>
      <c r="E36" s="9" t="n">
        <v>4</v>
      </c>
      <c r="F36" s="9">
        <f>IFERROR(MIN(C36,D36)*E36/C36,0)</f>
        <v/>
      </c>
      <c r="G36" s="9" t="n"/>
    </row>
    <row r="37" ht="14.15" customHeight="1">
      <c r="A37" s="7" t="n">
        <v>22</v>
      </c>
      <c r="B37" s="8" t="inlineStr">
        <is>
          <t>Bread basket</t>
        </is>
      </c>
      <c r="C37" s="9" t="n">
        <v>8</v>
      </c>
      <c r="D37" s="9" t="n">
        <v>0</v>
      </c>
      <c r="E37" s="9" t="n">
        <v>4</v>
      </c>
      <c r="F37" s="9">
        <f>IFERROR(MIN(C37,D37)*E37/C37,0)</f>
        <v/>
      </c>
      <c r="G37" s="9" t="n"/>
    </row>
    <row r="38" ht="14.15" customHeight="1">
      <c r="A38" s="7" t="n">
        <v>23</v>
      </c>
      <c r="B38" s="8" t="inlineStr">
        <is>
          <t>Service utensils (Tong, service spoon, service fork, soup ladle)</t>
        </is>
      </c>
      <c r="C38" s="9" t="n">
        <v>4</v>
      </c>
      <c r="D38" s="9" t="n">
        <v>0</v>
      </c>
      <c r="E38" s="9" t="n">
        <v>6</v>
      </c>
      <c r="F38" s="9">
        <f>IFERROR(MIN(C38,D38)*E38/C38,0)</f>
        <v/>
      </c>
      <c r="G38" s="9" t="n"/>
    </row>
    <row r="39" ht="14.15" customHeight="1">
      <c r="A39" s="7" t="n">
        <v>24</v>
      </c>
      <c r="B39" s="8" t="inlineStr">
        <is>
          <t>Salver tray</t>
        </is>
      </c>
      <c r="C39" s="9" t="n">
        <v>8</v>
      </c>
      <c r="D39" s="9" t="n">
        <v>0</v>
      </c>
      <c r="E39" s="9" t="n">
        <v>4</v>
      </c>
      <c r="F39" s="9">
        <f>IFERROR(MIN(C39,D39)*E39/C39,0)</f>
        <v/>
      </c>
      <c r="G39" s="9" t="n"/>
    </row>
    <row r="40" ht="14.15" customHeight="1">
      <c r="A40" s="7" t="n">
        <v>25</v>
      </c>
      <c r="B40" s="8" t="inlineStr">
        <is>
          <t>Long tray</t>
        </is>
      </c>
      <c r="C40" s="9" t="n">
        <v>4</v>
      </c>
      <c r="D40" s="9" t="n">
        <v>0</v>
      </c>
      <c r="E40" s="9" t="n">
        <v>4</v>
      </c>
      <c r="F40" s="9">
        <f>IFERROR(MIN(C40,D40)*E40/C40,0)</f>
        <v/>
      </c>
      <c r="G40" s="9" t="n"/>
    </row>
    <row r="41" ht="14.15" customHeight="1">
      <c r="A41" s="7" t="n">
        <v>26</v>
      </c>
      <c r="B41" s="8" t="inlineStr">
        <is>
          <t>Cruet set</t>
        </is>
      </c>
      <c r="C41" s="9" t="n">
        <v>4</v>
      </c>
      <c r="D41" s="9" t="n">
        <v>0</v>
      </c>
      <c r="E41" s="9" t="n">
        <v>3</v>
      </c>
      <c r="F41" s="9">
        <f>IFERROR(MIN(C41,D41)*E41/C41,0)</f>
        <v/>
      </c>
      <c r="G41" s="9" t="inlineStr">
        <is>
          <t>4 set</t>
        </is>
      </c>
    </row>
    <row r="42" ht="14.15" customHeight="1">
      <c r="A42" s="7" t="n">
        <v>27</v>
      </c>
      <c r="B42" s="8" t="inlineStr">
        <is>
          <t>Flower vase</t>
        </is>
      </c>
      <c r="C42" s="9" t="n">
        <v>4</v>
      </c>
      <c r="D42" s="9" t="n">
        <v>0</v>
      </c>
      <c r="E42" s="9" t="n">
        <v>3</v>
      </c>
      <c r="F42" s="9">
        <f>IFERROR(MIN(C42,D42)*E42/C42,0)</f>
        <v/>
      </c>
      <c r="G42" s="9" t="n"/>
    </row>
    <row r="43" ht="14.15" customHeight="1">
      <c r="A43" s="7" t="n">
        <v>28</v>
      </c>
      <c r="B43" s="8" t="inlineStr">
        <is>
          <t>Astray</t>
        </is>
      </c>
      <c r="C43" s="9" t="n">
        <v>4</v>
      </c>
      <c r="D43" s="9" t="n">
        <v>0</v>
      </c>
      <c r="E43" s="9" t="n">
        <v>3</v>
      </c>
      <c r="F43" s="9">
        <f>IFERROR(MIN(C43,D43)*E43/C43,0)</f>
        <v/>
      </c>
      <c r="G43" s="9" t="n"/>
    </row>
    <row r="44" ht="14.15" customHeight="1">
      <c r="A44" s="7" t="n">
        <v>29</v>
      </c>
      <c r="B44" s="8" t="inlineStr">
        <is>
          <t>Reserved tag</t>
        </is>
      </c>
      <c r="C44" s="9" t="n">
        <v>4</v>
      </c>
      <c r="D44" s="9" t="n">
        <v>0</v>
      </c>
      <c r="E44" s="9" t="n">
        <v>3</v>
      </c>
      <c r="F44" s="9">
        <f>IFERROR(MIN(C44,D44)*E44/C44,0)</f>
        <v/>
      </c>
      <c r="G44" s="9" t="n"/>
    </row>
    <row r="45" ht="14.15" customHeight="1">
      <c r="A45" s="7" t="n">
        <v>30</v>
      </c>
      <c r="B45" s="8" t="inlineStr">
        <is>
          <t>Logbook</t>
        </is>
      </c>
      <c r="C45" s="9" t="n">
        <v>1</v>
      </c>
      <c r="D45" s="9" t="n">
        <v>0</v>
      </c>
      <c r="E45" s="9" t="n">
        <v>3</v>
      </c>
      <c r="F45" s="9">
        <f>IFERROR(MIN(C45,D45)*E45/C45,0)</f>
        <v/>
      </c>
      <c r="G45" s="9" t="n"/>
    </row>
    <row r="46" ht="14.15" customHeight="1">
      <c r="A46" s="7" t="n">
        <v>31</v>
      </c>
      <c r="B46" s="8" t="inlineStr">
        <is>
          <t>Guest reservation register</t>
        </is>
      </c>
      <c r="C46" s="9" t="n">
        <v>1</v>
      </c>
      <c r="D46" s="9" t="n">
        <v>0</v>
      </c>
      <c r="E46" s="9" t="n">
        <v>3</v>
      </c>
      <c r="F46" s="9">
        <f>IFERROR(MIN(C46,D46)*E46/C46,0)</f>
        <v/>
      </c>
      <c r="G46" s="9" t="n"/>
    </row>
    <row r="47">
      <c r="A47" s="10" t="inlineStr">
        <is>
          <t>Sum</t>
        </is>
      </c>
      <c r="B47" s="11" t="n"/>
      <c r="C47" s="11" t="n"/>
      <c r="D47" s="12" t="n"/>
      <c r="E47" s="10">
        <f>SUM(E16:E46)</f>
        <v/>
      </c>
      <c r="F47" s="10">
        <f>SUM(F16:F46)</f>
        <v/>
      </c>
      <c r="G47" s="13" t="n"/>
    </row>
    <row r="48">
      <c r="A48" s="10" t="inlineStr">
        <is>
          <t>Score out of 100</t>
        </is>
      </c>
      <c r="B48" s="11" t="n"/>
      <c r="C48" s="11" t="n"/>
      <c r="D48" s="11" t="n"/>
      <c r="E48" s="12" t="n"/>
      <c r="F48" s="10">
        <f>F47/E47*100</f>
        <v/>
      </c>
      <c r="G48" s="13" t="n"/>
    </row>
    <row r="49" ht="9.75" customHeight="1"/>
    <row r="50">
      <c r="A50" s="10" t="inlineStr">
        <is>
          <t xml:space="preserve">Total achieved points out of 30  </t>
        </is>
      </c>
      <c r="B50" s="11" t="n"/>
      <c r="C50" s="11" t="n"/>
      <c r="D50" s="11" t="n"/>
      <c r="E50" s="12" t="n"/>
      <c r="F50" s="10">
        <f>F48*30/100</f>
        <v/>
      </c>
      <c r="G50" s="10" t="inlineStr">
        <is>
          <t>Points</t>
        </is>
      </c>
    </row>
  </sheetData>
  <mergeCells count="8">
    <mergeCell ref="A13:G13"/>
    <mergeCell ref="C7:G7"/>
    <mergeCell ref="A50:E50"/>
    <mergeCell ref="A1:G1"/>
    <mergeCell ref="A48:E48"/>
    <mergeCell ref="A47:D47"/>
    <mergeCell ref="C8:G8"/>
    <mergeCell ref="A49:G4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6"/>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Housekeeping</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Housekeeping</t>
        </is>
      </c>
      <c r="C8" s="4" t="inlineStr">
        <is>
          <t>Classroom – minimum 350 sft. (33 sqm)
Workshop/ lab – 800 sft. (75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Housekeeping,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Computers/Laptop</t>
        </is>
      </c>
      <c r="C16" s="9" t="n">
        <v>1</v>
      </c>
      <c r="D16" s="9" t="n">
        <v>0</v>
      </c>
      <c r="E16" s="9" t="n">
        <v>5</v>
      </c>
      <c r="F16" s="9">
        <f>IFERROR(MIN(C16,D16)*E16/C16,0)</f>
        <v/>
      </c>
      <c r="G16" s="9" t="n"/>
    </row>
    <row r="17" ht="14.15" customHeight="1">
      <c r="A17" s="7" t="n">
        <v>2</v>
      </c>
      <c r="B17" s="8" t="inlineStr">
        <is>
          <t>Multimedia Projector</t>
        </is>
      </c>
      <c r="C17" s="9" t="n">
        <v>1</v>
      </c>
      <c r="D17" s="9" t="n">
        <v>0</v>
      </c>
      <c r="E17" s="9" t="n">
        <v>5</v>
      </c>
      <c r="F17" s="9">
        <f>IFERROR(MIN(C17,D17)*E17/C17,0)</f>
        <v/>
      </c>
      <c r="G17" s="9" t="n"/>
    </row>
    <row r="18" ht="14.15" customHeight="1">
      <c r="A18" s="7" t="n">
        <v>3</v>
      </c>
      <c r="B18" s="8" t="inlineStr">
        <is>
          <t>Complete set up of hotel room with twin bed and side table</t>
        </is>
      </c>
      <c r="C18" s="9" t="n">
        <v>1</v>
      </c>
      <c r="D18" s="9" t="n">
        <v>0</v>
      </c>
      <c r="E18" s="9" t="n">
        <v>9</v>
      </c>
      <c r="F18" s="9">
        <f>IFERROR(MIN(C18,D18)*E18/C18,0)</f>
        <v/>
      </c>
      <c r="G18" s="9" t="inlineStr">
        <is>
          <t>1 set</t>
        </is>
      </c>
    </row>
    <row r="19" ht="14.15" customHeight="1">
      <c r="A19" s="7" t="n">
        <v>4</v>
      </c>
      <c r="B19" s="8" t="inlineStr">
        <is>
          <t>A set of room materials comprising -
Hospitality tray (drinking water, tea kettle, sugar, coffee, tea, creamer, milk, cup, glass, saucers, spoon), 
Room directory 
Room collateral (Do Not Disturb (DND)/Privacy Please and makeup sign, brochure, minibar price list, room service menu) 
Note pad, Pen/Pencil
Tissue box 
Shoe horn
Laundry bag 
Slipper</t>
        </is>
      </c>
      <c r="C19" s="9" t="n">
        <v>1</v>
      </c>
      <c r="D19" s="9" t="n">
        <v>0</v>
      </c>
      <c r="E19" s="9" t="n">
        <v>6</v>
      </c>
      <c r="F19" s="9">
        <f>IFERROR(MIN(C19,D19)*E19/C19,0)</f>
        <v/>
      </c>
      <c r="G19" s="9" t="inlineStr">
        <is>
          <t>1 set</t>
        </is>
      </c>
    </row>
    <row r="20" ht="14.15" customHeight="1">
      <c r="A20" s="7" t="n">
        <v>5</v>
      </c>
      <c r="B20" s="8" t="inlineStr">
        <is>
          <t>Bin Basket</t>
        </is>
      </c>
      <c r="C20" s="9" t="n">
        <v>2</v>
      </c>
      <c r="D20" s="9" t="n">
        <v>0</v>
      </c>
      <c r="E20" s="9" t="n">
        <v>3</v>
      </c>
      <c r="F20" s="9">
        <f>IFERROR(MIN(C20,D20)*E20/C20,0)</f>
        <v/>
      </c>
      <c r="G20" s="9" t="n"/>
    </row>
    <row r="21" ht="14.15" customHeight="1">
      <c r="A21" s="7" t="n">
        <v>6</v>
      </c>
      <c r="B21" s="8" t="inlineStr">
        <is>
          <t>Complete set up of bathroom with bathtub</t>
        </is>
      </c>
      <c r="C21" s="9" t="n">
        <v>1</v>
      </c>
      <c r="D21" s="9" t="n">
        <v>0</v>
      </c>
      <c r="E21" s="9" t="n">
        <v>8</v>
      </c>
      <c r="F21" s="9">
        <f>IFERROR(MIN(C21,D21)*E21/C21,0)</f>
        <v/>
      </c>
      <c r="G21" s="9" t="n"/>
    </row>
    <row r="22" ht="14.15" customHeight="1">
      <c r="A22" s="7" t="n">
        <v>7</v>
      </c>
      <c r="B22" s="8" t="inlineStr">
        <is>
          <t>Bath room amenities: Soap (hand and bath), shampoo, Shower gel, Conditioner, Body lotion, Sanitary bag (women), Dental kit (Tooth paste and brush), Shaving kit, Loofa, Shower cap, Comb</t>
        </is>
      </c>
      <c r="C22" s="9" t="n">
        <v>1</v>
      </c>
      <c r="D22" s="9" t="n">
        <v>0</v>
      </c>
      <c r="E22" s="9" t="n">
        <v>4</v>
      </c>
      <c r="F22" s="9">
        <f>IFERROR(MIN(C22,D22)*E22/C22,0)</f>
        <v/>
      </c>
      <c r="G22" s="9" t="inlineStr">
        <is>
          <t>1 set</t>
        </is>
      </c>
    </row>
    <row r="23" ht="14.15" customHeight="1">
      <c r="A23" s="7" t="n">
        <v>8</v>
      </c>
      <c r="B23" s="8" t="inlineStr">
        <is>
          <t>Room attendant trolley</t>
        </is>
      </c>
      <c r="C23" s="9" t="n">
        <v>1</v>
      </c>
      <c r="D23" s="9" t="n">
        <v>0</v>
      </c>
      <c r="E23" s="9" t="n">
        <v>7</v>
      </c>
      <c r="F23" s="9">
        <f>IFERROR(MIN(C23,D23)*E23/C23,0)</f>
        <v/>
      </c>
      <c r="G23" s="9" t="n"/>
    </row>
    <row r="24" ht="14.15" customHeight="1">
      <c r="A24" s="7" t="n">
        <v>9</v>
      </c>
      <c r="B24" s="8" t="inlineStr">
        <is>
          <t>Air-Conditioner</t>
        </is>
      </c>
      <c r="C24" s="9" t="n">
        <v>1</v>
      </c>
      <c r="D24" s="9" t="n">
        <v>0</v>
      </c>
      <c r="E24" s="9" t="n">
        <v>7</v>
      </c>
      <c r="F24" s="9">
        <f>IFERROR(MIN(C24,D24)*E24/C24,0)</f>
        <v/>
      </c>
      <c r="G24" s="9" t="n"/>
    </row>
    <row r="25" ht="14.15" customHeight="1">
      <c r="A25" s="7" t="n">
        <v>10</v>
      </c>
      <c r="B25" s="8" t="inlineStr">
        <is>
          <t>Television (LED)</t>
        </is>
      </c>
      <c r="C25" s="9" t="n">
        <v>1</v>
      </c>
      <c r="D25" s="9" t="n">
        <v>0</v>
      </c>
      <c r="E25" s="9" t="n">
        <v>6</v>
      </c>
      <c r="F25" s="9">
        <f>IFERROR(MIN(C25,D25)*E25/C25,0)</f>
        <v/>
      </c>
      <c r="G25" s="9" t="n"/>
    </row>
    <row r="26" ht="14.15" customHeight="1">
      <c r="A26" s="7" t="n">
        <v>11</v>
      </c>
      <c r="B26" s="8" t="inlineStr">
        <is>
          <t>Minibar</t>
        </is>
      </c>
      <c r="C26" s="9" t="n">
        <v>1</v>
      </c>
      <c r="D26" s="9" t="n">
        <v>0</v>
      </c>
      <c r="E26" s="9" t="n">
        <v>6</v>
      </c>
      <c r="F26" s="9">
        <f>IFERROR(MIN(C26,D26)*E26/C26,0)</f>
        <v/>
      </c>
      <c r="G26" s="9" t="n"/>
    </row>
    <row r="27" ht="14.15" customHeight="1">
      <c r="A27" s="7" t="n">
        <v>12</v>
      </c>
      <c r="B27" s="8" t="inlineStr">
        <is>
          <t>Safe deposit box</t>
        </is>
      </c>
      <c r="C27" s="9" t="n">
        <v>1</v>
      </c>
      <c r="D27" s="9" t="n">
        <v>0</v>
      </c>
      <c r="E27" s="9" t="n">
        <v>6</v>
      </c>
      <c r="F27" s="9">
        <f>IFERROR(MIN(C27,D27)*E27/C27,0)</f>
        <v/>
      </c>
      <c r="G27" s="9" t="n"/>
    </row>
    <row r="28" ht="14.15" customHeight="1">
      <c r="A28" s="7" t="n">
        <v>13</v>
      </c>
      <c r="B28" s="8" t="inlineStr">
        <is>
          <t>Cub board with three types of hangers</t>
        </is>
      </c>
      <c r="C28" s="9" t="n">
        <v>1</v>
      </c>
      <c r="D28" s="9" t="n">
        <v>0</v>
      </c>
      <c r="E28" s="9" t="n">
        <v>5</v>
      </c>
      <c r="F28" s="9">
        <f>IFERROR(MIN(C28,D28)*E28/C28,0)</f>
        <v/>
      </c>
      <c r="G28" s="9" t="n"/>
    </row>
    <row r="29" ht="14.15" customHeight="1">
      <c r="A29" s="7" t="n">
        <v>14</v>
      </c>
      <c r="B29" s="8" t="inlineStr">
        <is>
          <t>Writing desk with chair</t>
        </is>
      </c>
      <c r="C29" s="9" t="n">
        <v>1</v>
      </c>
      <c r="D29" s="9" t="n">
        <v>0</v>
      </c>
      <c r="E29" s="9" t="n">
        <v>5</v>
      </c>
      <c r="F29" s="9">
        <f>IFERROR(MIN(C29,D29)*E29/C29,0)</f>
        <v/>
      </c>
      <c r="G29" s="9" t="n"/>
    </row>
    <row r="30" ht="14.15" customHeight="1">
      <c r="A30" s="7" t="n">
        <v>15</v>
      </c>
      <c r="B30" s="8" t="inlineStr">
        <is>
          <t>Linens (Bed sheet, Duvet and cover, pillow with cover, bed runner and bed cushion)</t>
        </is>
      </c>
      <c r="C30" s="9" t="n">
        <v>1</v>
      </c>
      <c r="D30" s="9" t="n">
        <v>0</v>
      </c>
      <c r="E30" s="9" t="n">
        <v>5</v>
      </c>
      <c r="F30" s="9">
        <f>IFERROR(MIN(C30,D30)*E30/C30,0)</f>
        <v/>
      </c>
      <c r="G30" s="9" t="inlineStr">
        <is>
          <t>1 set</t>
        </is>
      </c>
    </row>
    <row r="31" ht="14.15" customHeight="1">
      <c r="A31" s="7" t="n">
        <v>16</v>
      </c>
      <c r="B31" s="8" t="inlineStr">
        <is>
          <t>Terry (Bath towel, hand towel, face towel, bath met and bathrobe)</t>
        </is>
      </c>
      <c r="C31" s="9" t="n">
        <v>1</v>
      </c>
      <c r="D31" s="9" t="n">
        <v>0</v>
      </c>
      <c r="E31" s="9" t="n">
        <v>5</v>
      </c>
      <c r="F31" s="9">
        <f>IFERROR(MIN(C31,D31)*E31/C31,0)</f>
        <v/>
      </c>
      <c r="G31" s="9" t="inlineStr">
        <is>
          <t>1 set</t>
        </is>
      </c>
    </row>
    <row r="32" ht="14.15" customHeight="1">
      <c r="A32" s="7" t="n">
        <v>17</v>
      </c>
      <c r="B32" s="8" t="inlineStr">
        <is>
          <t>Hand iron with board</t>
        </is>
      </c>
      <c r="C32" s="9" t="n">
        <v>2</v>
      </c>
      <c r="D32" s="9" t="n">
        <v>0</v>
      </c>
      <c r="E32" s="9" t="n">
        <v>6</v>
      </c>
      <c r="F32" s="9">
        <f>IFERROR(MIN(C32,D32)*E32/C32,0)</f>
        <v/>
      </c>
      <c r="G32" s="9" t="n"/>
    </row>
    <row r="33" ht="14.15" customHeight="1">
      <c r="A33" s="7" t="n">
        <v>18</v>
      </c>
      <c r="B33" s="8" t="inlineStr">
        <is>
          <t>Hand Brush</t>
        </is>
      </c>
      <c r="C33" s="9" t="n">
        <v>5</v>
      </c>
      <c r="D33" s="9" t="n">
        <v>0</v>
      </c>
      <c r="E33" s="9" t="n">
        <v>3</v>
      </c>
      <c r="F33" s="9">
        <f>IFERROR(MIN(C33,D33)*E33/C33,0)</f>
        <v/>
      </c>
      <c r="G33" s="9" t="n"/>
    </row>
    <row r="34" ht="14.15" customHeight="1">
      <c r="A34" s="7" t="n">
        <v>19</v>
      </c>
      <c r="B34" s="8" t="inlineStr">
        <is>
          <t>Bucket</t>
        </is>
      </c>
      <c r="C34" s="9" t="n">
        <v>2</v>
      </c>
      <c r="D34" s="9" t="n">
        <v>0</v>
      </c>
      <c r="E34" s="9" t="n">
        <v>3</v>
      </c>
      <c r="F34" s="9">
        <f>IFERROR(MIN(C34,D34)*E34/C34,0)</f>
        <v/>
      </c>
      <c r="G34" s="9" t="n"/>
    </row>
    <row r="35" ht="14.15" customHeight="1">
      <c r="A35" s="7" t="n">
        <v>20</v>
      </c>
      <c r="B35" s="8" t="inlineStr">
        <is>
          <t>Telephone set</t>
        </is>
      </c>
      <c r="C35" s="9" t="n">
        <v>1</v>
      </c>
      <c r="D35" s="9" t="n">
        <v>0</v>
      </c>
      <c r="E35" s="9" t="n">
        <v>4</v>
      </c>
      <c r="F35" s="9">
        <f>IFERROR(MIN(C35,D35)*E35/C35,0)</f>
        <v/>
      </c>
      <c r="G35" s="9" t="n"/>
    </row>
    <row r="36" ht="14.15" customHeight="1">
      <c r="A36" s="7" t="n">
        <v>21</v>
      </c>
      <c r="B36" s="8" t="inlineStr">
        <is>
          <t>Tub chair and coffee table</t>
        </is>
      </c>
      <c r="C36" s="9" t="n">
        <v>1</v>
      </c>
      <c r="D36" s="9" t="n">
        <v>0</v>
      </c>
      <c r="E36" s="9" t="n">
        <v>5</v>
      </c>
      <c r="F36" s="9">
        <f>IFERROR(MIN(C36,D36)*E36/C36,0)</f>
        <v/>
      </c>
      <c r="G36" s="9" t="n"/>
    </row>
    <row r="37" ht="14.15" customHeight="1">
      <c r="A37" s="7" t="n">
        <v>22</v>
      </c>
      <c r="B37" s="8" t="inlineStr">
        <is>
          <t>Vacuum cleaner (wet and dry)</t>
        </is>
      </c>
      <c r="C37" s="9" t="n">
        <v>1</v>
      </c>
      <c r="D37" s="9" t="n">
        <v>0</v>
      </c>
      <c r="E37" s="9" t="n">
        <v>8</v>
      </c>
      <c r="F37" s="9">
        <f>IFERROR(MIN(C37,D37)*E37/C37,0)</f>
        <v/>
      </c>
      <c r="G37" s="9" t="n"/>
    </row>
    <row r="38" ht="14.15" customHeight="1">
      <c r="A38" s="7" t="n">
        <v>23</v>
      </c>
      <c r="B38" s="8" t="inlineStr">
        <is>
          <t>Glass wiper (short/long)</t>
        </is>
      </c>
      <c r="C38" s="9" t="n">
        <v>4</v>
      </c>
      <c r="D38" s="9" t="n">
        <v>0</v>
      </c>
      <c r="E38" s="9" t="n">
        <v>3</v>
      </c>
      <c r="F38" s="9">
        <f>IFERROR(MIN(C38,D38)*E38/C38,0)</f>
        <v/>
      </c>
      <c r="G38" s="9" t="n"/>
    </row>
    <row r="39" ht="14.15" customHeight="1">
      <c r="A39" s="7" t="n">
        <v>24</v>
      </c>
      <c r="B39" s="8" t="inlineStr">
        <is>
          <t>Squeezer (short/long)</t>
        </is>
      </c>
      <c r="C39" s="9" t="n">
        <v>4</v>
      </c>
      <c r="D39" s="9" t="n">
        <v>0</v>
      </c>
      <c r="E39" s="9" t="n">
        <v>3</v>
      </c>
      <c r="F39" s="9">
        <f>IFERROR(MIN(C39,D39)*E39/C39,0)</f>
        <v/>
      </c>
      <c r="G39" s="9" t="n"/>
    </row>
    <row r="40" ht="14.15" customHeight="1">
      <c r="A40" s="7" t="n">
        <v>25</v>
      </c>
      <c r="B40" s="8" t="inlineStr">
        <is>
          <t>Ladder</t>
        </is>
      </c>
      <c r="C40" s="9" t="n">
        <v>1</v>
      </c>
      <c r="D40" s="9" t="n">
        <v>0</v>
      </c>
      <c r="E40" s="9" t="n">
        <v>4</v>
      </c>
      <c r="F40" s="9">
        <f>IFERROR(MIN(C40,D40)*E40/C40,0)</f>
        <v/>
      </c>
      <c r="G40" s="9" t="n"/>
    </row>
    <row r="41" ht="14.15" customHeight="1">
      <c r="A41" s="7" t="n">
        <v>26</v>
      </c>
      <c r="B41" s="8" t="inlineStr">
        <is>
          <t>Hand caddie box</t>
        </is>
      </c>
      <c r="C41" s="9" t="n">
        <v>2</v>
      </c>
      <c r="D41" s="9" t="n">
        <v>0</v>
      </c>
      <c r="E41" s="9" t="n">
        <v>4</v>
      </c>
      <c r="F41" s="9">
        <f>IFERROR(MIN(C41,D41)*E41/C41,0)</f>
        <v/>
      </c>
      <c r="G41" s="9" t="n"/>
    </row>
    <row r="42" ht="14.15" customHeight="1">
      <c r="A42" s="7" t="n">
        <v>27</v>
      </c>
      <c r="B42" s="8" t="inlineStr">
        <is>
          <t>Prayer mat</t>
        </is>
      </c>
      <c r="C42" s="9" t="n">
        <v>1</v>
      </c>
      <c r="D42" s="9" t="n">
        <v>0</v>
      </c>
      <c r="E42" s="9" t="n">
        <v>3</v>
      </c>
      <c r="F42" s="9">
        <f>IFERROR(MIN(C42,D42)*E42/C42,0)</f>
        <v/>
      </c>
      <c r="G42" s="9" t="n"/>
    </row>
    <row r="43">
      <c r="A43" s="10" t="inlineStr">
        <is>
          <t>Sum</t>
        </is>
      </c>
      <c r="B43" s="11" t="n"/>
      <c r="C43" s="11" t="n"/>
      <c r="D43" s="12" t="n"/>
      <c r="E43" s="10">
        <f>SUM(E16:E42)</f>
        <v/>
      </c>
      <c r="F43" s="10">
        <f>SUM(F16:F42)</f>
        <v/>
      </c>
      <c r="G43" s="13" t="n"/>
    </row>
    <row r="44">
      <c r="A44" s="10" t="inlineStr">
        <is>
          <t>Score out of 100</t>
        </is>
      </c>
      <c r="B44" s="11" t="n"/>
      <c r="C44" s="11" t="n"/>
      <c r="D44" s="11" t="n"/>
      <c r="E44" s="12" t="n"/>
      <c r="F44" s="10">
        <f>F43/E43*100</f>
        <v/>
      </c>
      <c r="G44" s="13" t="n"/>
    </row>
    <row r="45" ht="9.75" customHeight="1"/>
    <row r="46">
      <c r="A46" s="10" t="inlineStr">
        <is>
          <t xml:space="preserve">Total achieved points out of 30  </t>
        </is>
      </c>
      <c r="B46" s="11" t="n"/>
      <c r="C46" s="11" t="n"/>
      <c r="D46" s="11" t="n"/>
      <c r="E46" s="12" t="n"/>
      <c r="F46" s="10">
        <f>F44*30/100</f>
        <v/>
      </c>
      <c r="G46" s="10" t="inlineStr">
        <is>
          <t>Points</t>
        </is>
      </c>
    </row>
  </sheetData>
  <mergeCells count="8">
    <mergeCell ref="A13:G13"/>
    <mergeCell ref="C7:G7"/>
    <mergeCell ref="A1:G1"/>
    <mergeCell ref="A43:D43"/>
    <mergeCell ref="A46:E46"/>
    <mergeCell ref="A44:E44"/>
    <mergeCell ref="C8:G8"/>
    <mergeCell ref="A45:G4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2"/>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Bakery and Pastry Production</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Bakery and Pastry Production</t>
        </is>
      </c>
      <c r="C8" s="4" t="inlineStr">
        <is>
          <t>Classroom – minimum 350 sft (33 sqm)
Workshop/ lab – 800 sft (75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Bakery and Pastry Production,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Computers/ Laptop</t>
        </is>
      </c>
      <c r="C16" s="9" t="n">
        <v>1</v>
      </c>
      <c r="D16" s="9" t="n">
        <v>0</v>
      </c>
      <c r="E16" s="9" t="n">
        <v>5</v>
      </c>
      <c r="F16" s="9">
        <f>IFERROR(MIN(C16,D16)*E16/C16,0)</f>
        <v/>
      </c>
      <c r="G16" s="9" t="n"/>
    </row>
    <row r="17" ht="14.15" customHeight="1">
      <c r="A17" s="7" t="n">
        <v>2</v>
      </c>
      <c r="B17" s="8" t="inlineStr">
        <is>
          <t>Multimedia Projector</t>
        </is>
      </c>
      <c r="C17" s="9" t="n">
        <v>1</v>
      </c>
      <c r="D17" s="9" t="n">
        <v>0</v>
      </c>
      <c r="E17" s="9" t="n">
        <v>5</v>
      </c>
      <c r="F17" s="9">
        <f>IFERROR(MIN(C17,D17)*E17/C17,0)</f>
        <v/>
      </c>
      <c r="G17" s="9" t="n"/>
    </row>
    <row r="18" ht="14.15" customHeight="1">
      <c r="A18" s="7" t="n">
        <v>3</v>
      </c>
      <c r="B18" s="8" t="inlineStr">
        <is>
          <t>Cooking station (02 burner)</t>
        </is>
      </c>
      <c r="C18" s="9" t="n">
        <v>1</v>
      </c>
      <c r="D18" s="9" t="n">
        <v>0</v>
      </c>
      <c r="E18" s="9" t="n">
        <v>8</v>
      </c>
      <c r="F18" s="9">
        <f>IFERROR(MIN(C18,D18)*E18/C18,0)</f>
        <v/>
      </c>
      <c r="G18" s="9" t="n"/>
    </row>
    <row r="19" ht="14.15" customHeight="1">
      <c r="A19" s="7" t="n">
        <v>4</v>
      </c>
      <c r="B19" s="8" t="inlineStr">
        <is>
          <t>Electric oven (3 deck)</t>
        </is>
      </c>
      <c r="C19" s="9" t="n">
        <v>1</v>
      </c>
      <c r="D19" s="9" t="n">
        <v>0</v>
      </c>
      <c r="E19" s="9" t="n">
        <v>9</v>
      </c>
      <c r="F19" s="9">
        <f>IFERROR(MIN(C19,D19)*E19/C19,0)</f>
        <v/>
      </c>
      <c r="G19" s="9" t="n"/>
    </row>
    <row r="20" ht="14.15" customHeight="1">
      <c r="A20" s="7" t="n">
        <v>5</v>
      </c>
      <c r="B20" s="8" t="inlineStr">
        <is>
          <t>Gas oven (3 deck)</t>
        </is>
      </c>
      <c r="C20" s="9" t="n">
        <v>1</v>
      </c>
      <c r="D20" s="9" t="n">
        <v>0</v>
      </c>
      <c r="E20" s="9" t="n">
        <v>9</v>
      </c>
      <c r="F20" s="9">
        <f>IFERROR(MIN(C20,D20)*E20/C20,0)</f>
        <v/>
      </c>
      <c r="G20" s="9" t="n"/>
    </row>
    <row r="21" ht="14.15" customHeight="1">
      <c r="A21" s="7" t="n">
        <v>6</v>
      </c>
      <c r="B21" s="8" t="inlineStr">
        <is>
          <t>Cooling rack</t>
        </is>
      </c>
      <c r="C21" s="9" t="n">
        <v>1</v>
      </c>
      <c r="D21" s="9" t="n">
        <v>0</v>
      </c>
      <c r="E21" s="9" t="n">
        <v>5</v>
      </c>
      <c r="F21" s="9">
        <f>IFERROR(MIN(C21,D21)*E21/C21,0)</f>
        <v/>
      </c>
      <c r="G21" s="9" t="n"/>
    </row>
    <row r="22" ht="14.15" customHeight="1">
      <c r="A22" s="7" t="n">
        <v>7</v>
      </c>
      <c r="B22" s="8" t="inlineStr">
        <is>
          <t>Utensil rack</t>
        </is>
      </c>
      <c r="C22" s="9" t="n">
        <v>1</v>
      </c>
      <c r="D22" s="9" t="n">
        <v>0</v>
      </c>
      <c r="E22" s="9" t="n">
        <v>4</v>
      </c>
      <c r="F22" s="9">
        <f>IFERROR(MIN(C22,D22)*E22/C22,0)</f>
        <v/>
      </c>
      <c r="G22" s="9" t="n"/>
    </row>
    <row r="23" ht="14.15" customHeight="1">
      <c r="A23" s="7" t="n">
        <v>8</v>
      </c>
      <c r="B23" s="8" t="inlineStr">
        <is>
          <t>Food processors</t>
        </is>
      </c>
      <c r="C23" s="9" t="n">
        <v>1</v>
      </c>
      <c r="D23" s="9" t="n">
        <v>0</v>
      </c>
      <c r="E23" s="9" t="n">
        <v>7</v>
      </c>
      <c r="F23" s="9">
        <f>IFERROR(MIN(C23,D23)*E23/C23,0)</f>
        <v/>
      </c>
      <c r="G23" s="9" t="n"/>
    </row>
    <row r="24" ht="14.15" customHeight="1">
      <c r="A24" s="7" t="n">
        <v>9</v>
      </c>
      <c r="B24" s="8" t="inlineStr">
        <is>
          <t>Blender Machine</t>
        </is>
      </c>
      <c r="C24" s="9" t="n">
        <v>2</v>
      </c>
      <c r="D24" s="9" t="n">
        <v>0</v>
      </c>
      <c r="E24" s="9" t="n">
        <v>6</v>
      </c>
      <c r="F24" s="9">
        <f>IFERROR(MIN(C24,D24)*E24/C24,0)</f>
        <v/>
      </c>
      <c r="G24" s="9" t="n"/>
    </row>
    <row r="25" ht="14.15" customHeight="1">
      <c r="A25" s="7" t="n">
        <v>10</v>
      </c>
      <c r="B25" s="8" t="inlineStr">
        <is>
          <t>Electric egg beater</t>
        </is>
      </c>
      <c r="C25" s="9" t="n">
        <v>6</v>
      </c>
      <c r="D25" s="9" t="n">
        <v>0</v>
      </c>
      <c r="E25" s="9" t="n">
        <v>5</v>
      </c>
      <c r="F25" s="9">
        <f>IFERROR(MIN(C25,D25)*E25/C25,0)</f>
        <v/>
      </c>
      <c r="G25" s="9" t="n"/>
    </row>
    <row r="26" ht="14.15" customHeight="1">
      <c r="A26" s="7" t="n">
        <v>11</v>
      </c>
      <c r="B26" s="8" t="inlineStr">
        <is>
          <t>Rolling pin</t>
        </is>
      </c>
      <c r="C26" s="9" t="n">
        <v>6</v>
      </c>
      <c r="D26" s="9" t="n">
        <v>0</v>
      </c>
      <c r="E26" s="9" t="n">
        <v>3</v>
      </c>
      <c r="F26" s="9">
        <f>IFERROR(MIN(C26,D26)*E26/C26,0)</f>
        <v/>
      </c>
      <c r="G26" s="9" t="n"/>
    </row>
    <row r="27" ht="14.15" customHeight="1">
      <c r="A27" s="7" t="n">
        <v>12</v>
      </c>
      <c r="B27" s="8" t="inlineStr">
        <is>
          <t>Dough mixing machine</t>
        </is>
      </c>
      <c r="C27" s="9" t="n">
        <v>1</v>
      </c>
      <c r="D27" s="9" t="n">
        <v>0</v>
      </c>
      <c r="E27" s="9" t="n">
        <v>8</v>
      </c>
      <c r="F27" s="9">
        <f>IFERROR(MIN(C27,D27)*E27/C27,0)</f>
        <v/>
      </c>
      <c r="G27" s="9" t="n"/>
    </row>
    <row r="28" ht="14.15" customHeight="1">
      <c r="A28" s="7" t="n">
        <v>13</v>
      </c>
      <c r="B28" s="8" t="inlineStr">
        <is>
          <t>Chocolate melting machine</t>
        </is>
      </c>
      <c r="C28" s="9" t="n">
        <v>1</v>
      </c>
      <c r="D28" s="9" t="n">
        <v>0</v>
      </c>
      <c r="E28" s="9" t="n">
        <v>7</v>
      </c>
      <c r="F28" s="9">
        <f>IFERROR(MIN(C28,D28)*E28/C28,0)</f>
        <v/>
      </c>
      <c r="G28" s="9" t="n"/>
    </row>
    <row r="29" ht="14.15" customHeight="1">
      <c r="A29" s="7" t="n">
        <v>14</v>
      </c>
      <c r="B29" s="8" t="inlineStr">
        <is>
          <t>Refrigerator (200-300 L)</t>
        </is>
      </c>
      <c r="C29" s="9" t="n">
        <v>1</v>
      </c>
      <c r="D29" s="9" t="n">
        <v>0</v>
      </c>
      <c r="E29" s="9" t="n">
        <v>8</v>
      </c>
      <c r="F29" s="9">
        <f>IFERROR(MIN(C29,D29)*E29/C29,0)</f>
        <v/>
      </c>
      <c r="G29" s="9" t="n"/>
    </row>
    <row r="30" ht="14.15" customHeight="1">
      <c r="A30" s="7" t="n">
        <v>15</v>
      </c>
      <c r="B30" s="8" t="inlineStr">
        <is>
          <t>Freezers (200-300 L)</t>
        </is>
      </c>
      <c r="C30" s="9" t="n">
        <v>1</v>
      </c>
      <c r="D30" s="9" t="n">
        <v>0</v>
      </c>
      <c r="E30" s="9" t="n">
        <v>7</v>
      </c>
      <c r="F30" s="9">
        <f>IFERROR(MIN(C30,D30)*E30/C30,0)</f>
        <v/>
      </c>
      <c r="G30" s="9" t="n"/>
    </row>
    <row r="31" ht="14.15" customHeight="1">
      <c r="A31" s="7" t="n">
        <v>16</v>
      </c>
      <c r="B31" s="8" t="inlineStr">
        <is>
          <t>Microwave oven</t>
        </is>
      </c>
      <c r="C31" s="9" t="n">
        <v>1</v>
      </c>
      <c r="D31" s="9" t="n">
        <v>0</v>
      </c>
      <c r="E31" s="9" t="n">
        <v>6</v>
      </c>
      <c r="F31" s="9">
        <f>IFERROR(MIN(C31,D31)*E31/C31,0)</f>
        <v/>
      </c>
      <c r="G31" s="9" t="n"/>
    </row>
    <row r="32" ht="14.15" customHeight="1">
      <c r="A32" s="7" t="n">
        <v>17</v>
      </c>
      <c r="B32" s="8" t="inlineStr">
        <is>
          <t>Working table-SS made (preferred size – 6ft x 3ft)</t>
        </is>
      </c>
      <c r="C32" s="9" t="n">
        <v>5</v>
      </c>
      <c r="D32" s="9" t="n">
        <v>0</v>
      </c>
      <c r="E32" s="9" t="n">
        <v>5</v>
      </c>
      <c r="F32" s="9">
        <f>IFERROR(MIN(C32,D32)*E32/C32,0)</f>
        <v/>
      </c>
      <c r="G32" s="9" t="n"/>
    </row>
    <row r="33" ht="14.15" customHeight="1">
      <c r="A33" s="7" t="n">
        <v>18</v>
      </c>
      <c r="B33" s="8" t="inlineStr">
        <is>
          <t>Table with sink</t>
        </is>
      </c>
      <c r="C33" s="9" t="n">
        <v>2</v>
      </c>
      <c r="D33" s="9" t="n">
        <v>0</v>
      </c>
      <c r="E33" s="9" t="n">
        <v>5</v>
      </c>
      <c r="F33" s="9">
        <f>IFERROR(MIN(C33,D33)*E33/C33,0)</f>
        <v/>
      </c>
      <c r="G33" s="9" t="n"/>
    </row>
    <row r="34" ht="14.15" customHeight="1">
      <c r="A34" s="7" t="n">
        <v>19</v>
      </c>
      <c r="B34" s="8" t="inlineStr">
        <is>
          <t>Hand wash sink</t>
        </is>
      </c>
      <c r="C34" s="9" t="n">
        <v>1</v>
      </c>
      <c r="D34" s="9" t="n">
        <v>0</v>
      </c>
      <c r="E34" s="9" t="n">
        <v>5</v>
      </c>
      <c r="F34" s="9">
        <f>IFERROR(MIN(C34,D34)*E34/C34,0)</f>
        <v/>
      </c>
      <c r="G34" s="9" t="n"/>
    </row>
    <row r="35" ht="14.15" customHeight="1">
      <c r="A35" s="7" t="n">
        <v>20</v>
      </c>
      <c r="B35" s="8" t="inlineStr">
        <is>
          <t>Frying pan (18 cm)</t>
        </is>
      </c>
      <c r="C35" s="9" t="n">
        <v>6</v>
      </c>
      <c r="D35" s="9" t="n">
        <v>0</v>
      </c>
      <c r="E35" s="9" t="n">
        <v>4</v>
      </c>
      <c r="F35" s="9">
        <f>IFERROR(MIN(C35,D35)*E35/C35,0)</f>
        <v/>
      </c>
      <c r="G35" s="9" t="n"/>
    </row>
    <row r="36" ht="14.15" customHeight="1">
      <c r="A36" s="7" t="n">
        <v>21</v>
      </c>
      <c r="B36" s="8" t="inlineStr">
        <is>
          <t>Sauce pan (Heavy duty and medium size)</t>
        </is>
      </c>
      <c r="C36" s="9" t="n">
        <v>6</v>
      </c>
      <c r="D36" s="9" t="n">
        <v>0</v>
      </c>
      <c r="E36" s="9" t="n">
        <v>4</v>
      </c>
      <c r="F36" s="9">
        <f>IFERROR(MIN(C36,D36)*E36/C36,0)</f>
        <v/>
      </c>
      <c r="G36" s="9" t="n"/>
    </row>
    <row r="37" ht="14.15" customHeight="1">
      <c r="A37" s="7" t="n">
        <v>22</v>
      </c>
      <c r="B37" s="8" t="inlineStr">
        <is>
          <t>Weighing Scale (Preferred capacity 5 kg)</t>
        </is>
      </c>
      <c r="C37" s="9" t="n">
        <v>2</v>
      </c>
      <c r="D37" s="9" t="n">
        <v>0</v>
      </c>
      <c r="E37" s="9" t="n">
        <v>4</v>
      </c>
      <c r="F37" s="9">
        <f>IFERROR(MIN(C37,D37)*E37/C37,0)</f>
        <v/>
      </c>
      <c r="G37" s="9" t="n"/>
    </row>
    <row r="38" ht="14.15" customHeight="1">
      <c r="A38" s="7" t="n">
        <v>23</v>
      </c>
      <c r="B38" s="8" t="inlineStr">
        <is>
          <t>Waste bin</t>
        </is>
      </c>
      <c r="C38" s="9" t="n">
        <v>4</v>
      </c>
      <c r="D38" s="9" t="n">
        <v>0</v>
      </c>
      <c r="E38" s="9" t="n">
        <v>3</v>
      </c>
      <c r="F38" s="9">
        <f>IFERROR(MIN(C38,D38)*E38/C38,0)</f>
        <v/>
      </c>
      <c r="G38" s="9" t="n"/>
    </row>
    <row r="39">
      <c r="A39" s="10" t="inlineStr">
        <is>
          <t>Sum</t>
        </is>
      </c>
      <c r="B39" s="11" t="n"/>
      <c r="C39" s="11" t="n"/>
      <c r="D39" s="12" t="n"/>
      <c r="E39" s="10">
        <f>SUM(E16:E38)</f>
        <v/>
      </c>
      <c r="F39" s="10">
        <f>SUM(F16:F38)</f>
        <v/>
      </c>
      <c r="G39" s="13" t="n"/>
    </row>
    <row r="40">
      <c r="A40" s="10" t="inlineStr">
        <is>
          <t>Score out of 100</t>
        </is>
      </c>
      <c r="B40" s="11" t="n"/>
      <c r="C40" s="11" t="n"/>
      <c r="D40" s="11" t="n"/>
      <c r="E40" s="12" t="n"/>
      <c r="F40" s="10">
        <f>F39/E39*100</f>
        <v/>
      </c>
      <c r="G40" s="13" t="n"/>
    </row>
    <row r="41" ht="9.75" customHeight="1"/>
    <row r="42">
      <c r="A42" s="10" t="inlineStr">
        <is>
          <t xml:space="preserve">Total achieved points out of 30  </t>
        </is>
      </c>
      <c r="B42" s="11" t="n"/>
      <c r="C42" s="11" t="n"/>
      <c r="D42" s="11" t="n"/>
      <c r="E42" s="12" t="n"/>
      <c r="F42" s="10">
        <f>F40*30/100</f>
        <v/>
      </c>
      <c r="G42" s="10" t="inlineStr">
        <is>
          <t>Points</t>
        </is>
      </c>
    </row>
  </sheetData>
  <mergeCells count="8">
    <mergeCell ref="A13:G13"/>
    <mergeCell ref="C7:G7"/>
    <mergeCell ref="A1:G1"/>
    <mergeCell ref="A42:E42"/>
    <mergeCell ref="A39:D39"/>
    <mergeCell ref="A41:G41"/>
    <mergeCell ref="C8:G8"/>
    <mergeCell ref="A40:E4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2026-08-17T07:23:47Z</dcterms:created>
  <dcterms:modified xmlns:dcterms="http://purl.org/dc/terms/" xmlns:xsi="http://www.w3.org/2001/XMLSchema-instance" xsi:type="dcterms:W3CDTF">2026-09-09T06:02:55Z</dcterms:modified>
</cp:coreProperties>
</file>
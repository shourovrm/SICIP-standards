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mp;B Production Cooking" sheetId="1" state="visible" r:id="rId1"/>
    <sheet xmlns:r="http://schemas.openxmlformats.org/officeDocument/2006/relationships" name="Food and Beverage Service" sheetId="2" state="visible" r:id="rId2"/>
    <sheet xmlns:r="http://schemas.openxmlformats.org/officeDocument/2006/relationships" name="Housekeeping" sheetId="3" state="visible" r:id="rId3"/>
    <sheet xmlns:r="http://schemas.openxmlformats.org/officeDocument/2006/relationships" name="Bakery and Pastry Prod"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(Cooking)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(Cooking)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(Cooking),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8</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5</v>
      </c>
      <c r="F28" s="9">
        <f>IFERROR(MIN(C28,D28)*E28/C28,0)</f>
        <v/>
      </c>
      <c r="G28" s="9" t="n"/>
    </row>
    <row r="29" ht="14.15" customHeight="1">
      <c r="A29" s="7" t="n">
        <v>14</v>
      </c>
      <c r="B29" s="8" t="inlineStr">
        <is>
          <t>Table with Sink</t>
        </is>
      </c>
      <c r="C29" s="9" t="n">
        <v>2</v>
      </c>
      <c r="D29" s="9" t="n">
        <v>0</v>
      </c>
      <c r="E29" s="9" t="n">
        <v>5</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4</v>
      </c>
      <c r="F33" s="9">
        <f>IFERROR(MIN(C33,D33)*E33/C33,0)</f>
        <v/>
      </c>
      <c r="G33" s="9" t="n"/>
    </row>
    <row r="34" ht="14.15" customHeight="1">
      <c r="A34" s="7" t="n">
        <v>19</v>
      </c>
      <c r="B34" s="8" t="inlineStr">
        <is>
          <t>Weighing Scale (Preferred capacity 1 kg)</t>
        </is>
      </c>
      <c r="C34" s="9" t="n">
        <v>5</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8</v>
      </c>
      <c r="F18" s="9">
        <f>IFERROR(MIN(C18,D18)*E18/C18,0)</f>
        <v/>
      </c>
      <c r="G18" s="9" t="n"/>
    </row>
    <row r="19" ht="14.15" customHeight="1">
      <c r="A19" s="7" t="n">
        <v>4</v>
      </c>
      <c r="B19" s="8" t="inlineStr">
        <is>
          <t>Juicer</t>
        </is>
      </c>
      <c r="C19" s="9" t="n">
        <v>1</v>
      </c>
      <c r="D19" s="9" t="n">
        <v>0</v>
      </c>
      <c r="E19" s="9" t="n">
        <v>6</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7</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7</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4</v>
      </c>
      <c r="F26" s="9">
        <f>IFERROR(MIN(C26,D26)*E26/C26,0)</f>
        <v/>
      </c>
      <c r="G26" s="9" t="n"/>
    </row>
    <row r="27" ht="14.15" customHeight="1">
      <c r="A27" s="7" t="n">
        <v>12</v>
      </c>
      <c r="B27" s="8" t="inlineStr">
        <is>
          <t>Table cloth</t>
        </is>
      </c>
      <c r="C27" s="9" t="n">
        <v>4</v>
      </c>
      <c r="D27" s="9" t="n">
        <v>0</v>
      </c>
      <c r="E27" s="9" t="n">
        <v>4</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4</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4</v>
      </c>
      <c r="F34" s="9">
        <f>IFERROR(MIN(C34,D34)*E34/C34,0)</f>
        <v/>
      </c>
      <c r="G34" s="9" t="n"/>
    </row>
    <row r="35" ht="14.15" customHeight="1">
      <c r="A35" s="7" t="n">
        <v>20</v>
      </c>
      <c r="B35" s="8" t="inlineStr">
        <is>
          <t>Menu card</t>
        </is>
      </c>
      <c r="C35" s="9" t="n">
        <v>16</v>
      </c>
      <c r="D35" s="9" t="n">
        <v>0</v>
      </c>
      <c r="E35" s="9" t="n">
        <v>4</v>
      </c>
      <c r="F35" s="9">
        <f>IFERROR(MIN(C35,D35)*E35/C35,0)</f>
        <v/>
      </c>
      <c r="G35" s="9" t="n"/>
    </row>
    <row r="36" ht="14.15" customHeight="1">
      <c r="A36" s="7" t="n">
        <v>21</v>
      </c>
      <c r="B36" s="8" t="inlineStr">
        <is>
          <t>KOT (Kitchen Order Token)</t>
        </is>
      </c>
      <c r="C36" s="9" t="n">
        <v>10</v>
      </c>
      <c r="D36" s="9" t="n">
        <v>0</v>
      </c>
      <c r="E36" s="9" t="n">
        <v>4</v>
      </c>
      <c r="F36" s="9">
        <f>IFERROR(MIN(C36,D36)*E36/C36,0)</f>
        <v/>
      </c>
      <c r="G36" s="9" t="n"/>
    </row>
    <row r="37" ht="14.15" customHeight="1">
      <c r="A37" s="7" t="n">
        <v>22</v>
      </c>
      <c r="B37" s="8" t="inlineStr">
        <is>
          <t>Bread basket</t>
        </is>
      </c>
      <c r="C37" s="9" t="n">
        <v>8</v>
      </c>
      <c r="D37" s="9" t="n">
        <v>0</v>
      </c>
      <c r="E37" s="9" t="n">
        <v>4</v>
      </c>
      <c r="F37" s="9">
        <f>IFERROR(MIN(C37,D37)*E37/C37,0)</f>
        <v/>
      </c>
      <c r="G37" s="9" t="n"/>
    </row>
    <row r="38" ht="14.15" customHeight="1">
      <c r="A38" s="7" t="n">
        <v>23</v>
      </c>
      <c r="B38" s="8" t="inlineStr">
        <is>
          <t>Service utensils (Tong, service spoon, service fork, soup ladle)</t>
        </is>
      </c>
      <c r="C38" s="9" t="n">
        <v>4</v>
      </c>
      <c r="D38" s="9" t="n">
        <v>0</v>
      </c>
      <c r="E38" s="9" t="n">
        <v>6</v>
      </c>
      <c r="F38" s="9">
        <f>IFERROR(MIN(C38,D38)*E38/C38,0)</f>
        <v/>
      </c>
      <c r="G38" s="9" t="n"/>
    </row>
    <row r="39" ht="14.15" customHeight="1">
      <c r="A39" s="7" t="n">
        <v>24</v>
      </c>
      <c r="B39" s="8" t="inlineStr">
        <is>
          <t>Salver tray</t>
        </is>
      </c>
      <c r="C39" s="9" t="n">
        <v>8</v>
      </c>
      <c r="D39" s="9" t="n">
        <v>0</v>
      </c>
      <c r="E39" s="9" t="n">
        <v>4</v>
      </c>
      <c r="F39" s="9">
        <f>IFERROR(MIN(C39,D39)*E39/C39,0)</f>
        <v/>
      </c>
      <c r="G39" s="9" t="n"/>
    </row>
    <row r="40" ht="14.15" customHeight="1">
      <c r="A40" s="7" t="n">
        <v>25</v>
      </c>
      <c r="B40" s="8" t="inlineStr">
        <is>
          <t>Long tray</t>
        </is>
      </c>
      <c r="C40" s="9" t="n">
        <v>4</v>
      </c>
      <c r="D40" s="9" t="n">
        <v>0</v>
      </c>
      <c r="E40" s="9" t="n">
        <v>4</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6</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8</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4</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7</v>
      </c>
      <c r="F24" s="9">
        <f>IFERROR(MIN(C24,D24)*E24/C24,0)</f>
        <v/>
      </c>
      <c r="G24" s="9" t="n"/>
    </row>
    <row r="25" ht="14.15" customHeight="1">
      <c r="A25" s="7" t="n">
        <v>10</v>
      </c>
      <c r="B25" s="8" t="inlineStr">
        <is>
          <t>Television (LED)</t>
        </is>
      </c>
      <c r="C25" s="9" t="n">
        <v>1</v>
      </c>
      <c r="D25" s="9" t="n">
        <v>0</v>
      </c>
      <c r="E25" s="9" t="n">
        <v>6</v>
      </c>
      <c r="F25" s="9">
        <f>IFERROR(MIN(C25,D25)*E25/C25,0)</f>
        <v/>
      </c>
      <c r="G25" s="9" t="n"/>
    </row>
    <row r="26" ht="14.15" customHeight="1">
      <c r="A26" s="7" t="n">
        <v>11</v>
      </c>
      <c r="B26" s="8" t="inlineStr">
        <is>
          <t>Minibar</t>
        </is>
      </c>
      <c r="C26" s="9" t="n">
        <v>1</v>
      </c>
      <c r="D26" s="9" t="n">
        <v>0</v>
      </c>
      <c r="E26" s="9" t="n">
        <v>6</v>
      </c>
      <c r="F26" s="9">
        <f>IFERROR(MIN(C26,D26)*E26/C26,0)</f>
        <v/>
      </c>
      <c r="G26" s="9" t="n"/>
    </row>
    <row r="27" ht="14.15" customHeight="1">
      <c r="A27" s="7" t="n">
        <v>12</v>
      </c>
      <c r="B27" s="8" t="inlineStr">
        <is>
          <t>Safe deposit box</t>
        </is>
      </c>
      <c r="C27" s="9" t="n">
        <v>1</v>
      </c>
      <c r="D27" s="9" t="n">
        <v>0</v>
      </c>
      <c r="E27" s="9" t="n">
        <v>6</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5</v>
      </c>
      <c r="F29" s="9">
        <f>IFERROR(MIN(C29,D29)*E29/C29,0)</f>
        <v/>
      </c>
      <c r="G29" s="9" t="n"/>
    </row>
    <row r="30" ht="14.15" customHeight="1">
      <c r="A30" s="7" t="n">
        <v>15</v>
      </c>
      <c r="B30" s="8" t="inlineStr">
        <is>
          <t>Linens (Bed sheet, Duvet and cover, pillow with cover, bed runner and bed cushion)</t>
        </is>
      </c>
      <c r="C30" s="9" t="n">
        <v>1</v>
      </c>
      <c r="D30" s="9" t="n">
        <v>0</v>
      </c>
      <c r="E30" s="9" t="n">
        <v>5</v>
      </c>
      <c r="F30" s="9">
        <f>IFERROR(MIN(C30,D30)*E30/C30,0)</f>
        <v/>
      </c>
      <c r="G30" s="9" t="inlineStr">
        <is>
          <t>1 set</t>
        </is>
      </c>
    </row>
    <row r="31" ht="14.15" customHeight="1">
      <c r="A31" s="7" t="n">
        <v>16</v>
      </c>
      <c r="B31" s="8" t="inlineStr">
        <is>
          <t>Terry (Bath towel, hand towel, face towel, bath met and bathrobe)</t>
        </is>
      </c>
      <c r="C31" s="9" t="n">
        <v>1</v>
      </c>
      <c r="D31" s="9" t="n">
        <v>0</v>
      </c>
      <c r="E31" s="9" t="n">
        <v>5</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5</v>
      </c>
      <c r="F36" s="9">
        <f>IFERROR(MIN(C36,D36)*E36/C36,0)</f>
        <v/>
      </c>
      <c r="G36" s="9" t="n"/>
    </row>
    <row r="37" ht="14.15" customHeight="1">
      <c r="A37" s="7" t="n">
        <v>22</v>
      </c>
      <c r="B37" s="8" t="inlineStr">
        <is>
          <t>Vacuum cleaner (wet and dry)</t>
        </is>
      </c>
      <c r="C37" s="9" t="n">
        <v>1</v>
      </c>
      <c r="D37" s="9" t="n">
        <v>0</v>
      </c>
      <c r="E37" s="9" t="n">
        <v>8</v>
      </c>
      <c r="F37" s="9">
        <f>IFERROR(MIN(C37,D37)*E37/C37,0)</f>
        <v/>
      </c>
      <c r="G37" s="9" t="n"/>
    </row>
    <row r="38" ht="14.15" customHeight="1">
      <c r="A38" s="7" t="n">
        <v>23</v>
      </c>
      <c r="B38" s="8" t="inlineStr">
        <is>
          <t>Glass wiper (short/long)</t>
        </is>
      </c>
      <c r="C38" s="9" t="n">
        <v>4</v>
      </c>
      <c r="D38" s="9" t="n">
        <v>0</v>
      </c>
      <c r="E38" s="9" t="n">
        <v>3</v>
      </c>
      <c r="F38" s="9">
        <f>IFERROR(MIN(C38,D38)*E38/C38,0)</f>
        <v/>
      </c>
      <c r="G38" s="9" t="n"/>
    </row>
    <row r="39" ht="14.15" customHeight="1">
      <c r="A39" s="7" t="n">
        <v>24</v>
      </c>
      <c r="B39" s="8" t="inlineStr">
        <is>
          <t>Squeezer (short/long)</t>
        </is>
      </c>
      <c r="C39" s="9" t="n">
        <v>4</v>
      </c>
      <c r="D39" s="9" t="n">
        <v>0</v>
      </c>
      <c r="E39" s="9" t="n">
        <v>3</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4</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8</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5</v>
      </c>
      <c r="F21" s="9">
        <f>IFERROR(MIN(C21,D21)*E21/C21,0)</f>
        <v/>
      </c>
      <c r="G21" s="9" t="n"/>
    </row>
    <row r="22" ht="14.15" customHeight="1">
      <c r="A22" s="7" t="n">
        <v>7</v>
      </c>
      <c r="B22" s="8" t="inlineStr">
        <is>
          <t>Utensil rack</t>
        </is>
      </c>
      <c r="C22" s="9" t="n">
        <v>1</v>
      </c>
      <c r="D22" s="9" t="n">
        <v>0</v>
      </c>
      <c r="E22" s="9" t="n">
        <v>4</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5</v>
      </c>
      <c r="F25" s="9">
        <f>IFERROR(MIN(C25,D25)*E25/C25,0)</f>
        <v/>
      </c>
      <c r="G25" s="9" t="n"/>
    </row>
    <row r="26" ht="14.15" customHeight="1">
      <c r="A26" s="7" t="n">
        <v>11</v>
      </c>
      <c r="B26" s="8" t="inlineStr">
        <is>
          <t>Rolling pin</t>
        </is>
      </c>
      <c r="C26" s="9" t="n">
        <v>6</v>
      </c>
      <c r="D26" s="9" t="n">
        <v>0</v>
      </c>
      <c r="E26" s="9" t="n">
        <v>3</v>
      </c>
      <c r="F26" s="9">
        <f>IFERROR(MIN(C26,D26)*E26/C26,0)</f>
        <v/>
      </c>
      <c r="G26" s="9" t="n"/>
    </row>
    <row r="27" ht="14.15" customHeight="1">
      <c r="A27" s="7" t="n">
        <v>12</v>
      </c>
      <c r="B27" s="8" t="inlineStr">
        <is>
          <t>Dough mixing machine</t>
        </is>
      </c>
      <c r="C27" s="9" t="n">
        <v>1</v>
      </c>
      <c r="D27" s="9" t="n">
        <v>0</v>
      </c>
      <c r="E27" s="9" t="n">
        <v>8</v>
      </c>
      <c r="F27" s="9">
        <f>IFERROR(MIN(C27,D27)*E27/C27,0)</f>
        <v/>
      </c>
      <c r="G27" s="9" t="n"/>
    </row>
    <row r="28" ht="14.15" customHeight="1">
      <c r="A28" s="7" t="n">
        <v>13</v>
      </c>
      <c r="B28" s="8" t="inlineStr">
        <is>
          <t>Chocolate melting machine</t>
        </is>
      </c>
      <c r="C28" s="9" t="n">
        <v>1</v>
      </c>
      <c r="D28" s="9" t="n">
        <v>0</v>
      </c>
      <c r="E28" s="9" t="n">
        <v>7</v>
      </c>
      <c r="F28" s="9">
        <f>IFERROR(MIN(C28,D28)*E28/C28,0)</f>
        <v/>
      </c>
      <c r="G28" s="9" t="n"/>
    </row>
    <row r="29" ht="14.15" customHeight="1">
      <c r="A29" s="7" t="n">
        <v>14</v>
      </c>
      <c r="B29" s="8" t="inlineStr">
        <is>
          <t>Refrigerator (200-300 L)</t>
        </is>
      </c>
      <c r="C29" s="9" t="n">
        <v>1</v>
      </c>
      <c r="D29" s="9" t="n">
        <v>0</v>
      </c>
      <c r="E29" s="9" t="n">
        <v>8</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5</v>
      </c>
      <c r="F32" s="9">
        <f>IFERROR(MIN(C32,D32)*E32/C32,0)</f>
        <v/>
      </c>
      <c r="G32" s="9" t="n"/>
    </row>
    <row r="33" ht="14.15" customHeight="1">
      <c r="A33" s="7" t="n">
        <v>18</v>
      </c>
      <c r="B33" s="8" t="inlineStr">
        <is>
          <t>Table with sink</t>
        </is>
      </c>
      <c r="C33" s="9" t="n">
        <v>2</v>
      </c>
      <c r="D33" s="9" t="n">
        <v>0</v>
      </c>
      <c r="E33" s="9" t="n">
        <v>5</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2026-08-31T10:08:28Z</dcterms:modified>
</cp:coreProperties>
</file>
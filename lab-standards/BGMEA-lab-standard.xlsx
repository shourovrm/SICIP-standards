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wing Machine Op (Lingerie)" sheetId="1" state="visible" r:id="rId1"/>
    <sheet xmlns:r="http://schemas.openxmlformats.org/officeDocument/2006/relationships" name="Sweater Linking Operation" sheetId="2" state="visible" r:id="rId2"/>
    <sheet xmlns:r="http://schemas.openxmlformats.org/officeDocument/2006/relationships" name="Computerised Sweater Machine" sheetId="3" state="visible" r:id="rId3"/>
    <sheet xmlns:r="http://schemas.openxmlformats.org/officeDocument/2006/relationships" name="Adv Sewing Machine Op (Multi)" sheetId="4" state="visible" r:id="rId4"/>
    <sheet xmlns:r="http://schemas.openxmlformats.org/officeDocument/2006/relationships" name="Supply Chain Mgmt &amp; Prod Plan" sheetId="5" state="visible" r:id="rId5"/>
    <sheet xmlns:r="http://schemas.openxmlformats.org/officeDocument/2006/relationships" name="Industrial Eng &amp; Lean Mfg" sheetId="6" state="visible" r:id="rId6"/>
    <sheet xmlns:r="http://schemas.openxmlformats.org/officeDocument/2006/relationships" name="Advanced Quality Control Mgmt" sheetId="7" state="visible" r:id="rId7"/>
    <sheet xmlns:r="http://schemas.openxmlformats.org/officeDocument/2006/relationships" name="Business Dev &amp; Merchandising" sheetId="8" state="visible" r:id="rId8"/>
    <sheet xmlns:r="http://schemas.openxmlformats.org/officeDocument/2006/relationships" name="Social Compliance &amp; Env Mgmt" sheetId="9" state="visible" r:id="rId9"/>
    <sheet xmlns:r="http://schemas.openxmlformats.org/officeDocument/2006/relationships" name="3D Fashion Design" sheetId="10" state="visible" r:id="rId10"/>
    <sheet xmlns:r="http://schemas.openxmlformats.org/officeDocument/2006/relationships" name="Jacquard Programming" sheetId="11" state="visible" r:id="rId11"/>
    <sheet xmlns:r="http://schemas.openxmlformats.org/officeDocument/2006/relationships" name="Advanced Pattern Making CAD" sheetId="12" state="visible" r:id="rId1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Sewing Machine Operation (Lingerie)</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Sewing Machine Operation (Lingerie)</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Sewing Machine Operation (Lingerie),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 screen</t>
        </is>
      </c>
      <c r="C17" s="9" t="n">
        <v>1</v>
      </c>
      <c r="D17" s="9" t="n">
        <v>0</v>
      </c>
      <c r="E17" s="9" t="n">
        <v>5</v>
      </c>
      <c r="F17" s="9">
        <f>IFERROR(MIN(C17,D17)*E17/C17,0)</f>
        <v/>
      </c>
      <c r="G17" s="9" t="n"/>
    </row>
    <row r="18" ht="14.15" customHeight="1">
      <c r="A18" s="7" t="n">
        <v>3</v>
      </c>
      <c r="B18" s="8" t="inlineStr">
        <is>
          <t>Single needle lock stitch machine</t>
        </is>
      </c>
      <c r="C18" s="9" t="n">
        <v>30</v>
      </c>
      <c r="D18" s="9" t="n">
        <v>0</v>
      </c>
      <c r="E18" s="9" t="n">
        <v>9</v>
      </c>
      <c r="F18" s="9">
        <f>IFERROR(MIN(C18,D18)*E18/C18,0)</f>
        <v/>
      </c>
      <c r="G18" s="9" t="n"/>
    </row>
    <row r="19" ht="14.15" customHeight="1">
      <c r="A19" s="7" t="n">
        <v>4</v>
      </c>
      <c r="B19" s="8" t="inlineStr">
        <is>
          <t>Double needle lockstitch machine</t>
        </is>
      </c>
      <c r="C19" s="9" t="n">
        <v>2</v>
      </c>
      <c r="D19" s="9" t="n">
        <v>0</v>
      </c>
      <c r="E19" s="9" t="n">
        <v>8</v>
      </c>
      <c r="F19" s="9">
        <f>IFERROR(MIN(C19,D19)*E19/C19,0)</f>
        <v/>
      </c>
      <c r="G19" s="9" t="n"/>
    </row>
    <row r="20" ht="14.15" customHeight="1">
      <c r="A20" s="7" t="n">
        <v>5</v>
      </c>
      <c r="B20" s="8" t="inlineStr">
        <is>
          <t>Over Lock Machine</t>
        </is>
      </c>
      <c r="C20" s="9" t="n">
        <v>4</v>
      </c>
      <c r="D20" s="9" t="n">
        <v>0</v>
      </c>
      <c r="E20" s="9" t="n">
        <v>8</v>
      </c>
      <c r="F20" s="9">
        <f>IFERROR(MIN(C20,D20)*E20/C20,0)</f>
        <v/>
      </c>
      <c r="G20" s="9" t="n"/>
    </row>
    <row r="21" ht="14.15" customHeight="1">
      <c r="A21" s="7" t="n">
        <v>6</v>
      </c>
      <c r="B21" s="8" t="inlineStr">
        <is>
          <t>Flat Lock Machine</t>
        </is>
      </c>
      <c r="C21" s="9" t="n">
        <v>4</v>
      </c>
      <c r="D21" s="9" t="n">
        <v>0</v>
      </c>
      <c r="E21" s="9" t="n">
        <v>8</v>
      </c>
      <c r="F21" s="9">
        <f>IFERROR(MIN(C21,D21)*E21/C21,0)</f>
        <v/>
      </c>
      <c r="G21" s="9" t="n"/>
    </row>
    <row r="22" ht="14.15" customHeight="1">
      <c r="A22" s="7" t="n">
        <v>7</v>
      </c>
      <c r="B22" s="8" t="inlineStr">
        <is>
          <t>Single step zigzag machine</t>
        </is>
      </c>
      <c r="C22" s="9" t="n">
        <v>2</v>
      </c>
      <c r="D22" s="9" t="n">
        <v>0</v>
      </c>
      <c r="E22" s="9" t="n">
        <v>6</v>
      </c>
      <c r="F22" s="9">
        <f>IFERROR(MIN(C22,D22)*E22/C22,0)</f>
        <v/>
      </c>
      <c r="G22" s="9" t="n"/>
    </row>
    <row r="23" ht="14.15" customHeight="1">
      <c r="A23" s="7" t="n">
        <v>8</v>
      </c>
      <c r="B23" s="8" t="inlineStr">
        <is>
          <t>3 step zigzag machine</t>
        </is>
      </c>
      <c r="C23" s="9" t="n">
        <v>2</v>
      </c>
      <c r="D23" s="9" t="n">
        <v>0</v>
      </c>
      <c r="E23" s="9" t="n">
        <v>6</v>
      </c>
      <c r="F23" s="9">
        <f>IFERROR(MIN(C23,D23)*E23/C23,0)</f>
        <v/>
      </c>
      <c r="G23" s="9" t="n"/>
    </row>
    <row r="24" ht="14.15" customHeight="1">
      <c r="A24" s="7" t="n">
        <v>9</v>
      </c>
      <c r="B24" s="8" t="inlineStr">
        <is>
          <t>Bar Tack Machine</t>
        </is>
      </c>
      <c r="C24" s="9" t="n">
        <v>1</v>
      </c>
      <c r="D24" s="9" t="n">
        <v>0</v>
      </c>
      <c r="E24" s="9" t="n">
        <v>7</v>
      </c>
      <c r="F24" s="9">
        <f>IFERROR(MIN(C24,D24)*E24/C24,0)</f>
        <v/>
      </c>
      <c r="G24" s="9" t="n"/>
    </row>
    <row r="25" ht="14.15" customHeight="1">
      <c r="A25" s="7" t="n">
        <v>10</v>
      </c>
      <c r="B25" s="8" t="inlineStr">
        <is>
          <t>Measuring Tape</t>
        </is>
      </c>
      <c r="C25" s="9" t="n">
        <v>25</v>
      </c>
      <c r="D25" s="9" t="n">
        <v>0</v>
      </c>
      <c r="E25" s="9" t="n">
        <v>3</v>
      </c>
      <c r="F25" s="9">
        <f>IFERROR(MIN(C25,D25)*E25/C25,0)</f>
        <v/>
      </c>
      <c r="G25" s="9" t="n"/>
    </row>
    <row r="26" ht="14.15" customHeight="1">
      <c r="A26" s="7" t="n">
        <v>11</v>
      </c>
      <c r="B26" s="8" t="inlineStr">
        <is>
          <t>Stop Watch</t>
        </is>
      </c>
      <c r="C26" s="9" t="n">
        <v>2</v>
      </c>
      <c r="D26" s="9" t="n">
        <v>0</v>
      </c>
      <c r="E26" s="9" t="n">
        <v>3</v>
      </c>
      <c r="F26" s="9">
        <f>IFERROR(MIN(C26,D26)*E26/C26,0)</f>
        <v/>
      </c>
      <c r="G26" s="9" t="n"/>
    </row>
    <row r="27" ht="14.15" customHeight="1">
      <c r="A27" s="7" t="n">
        <v>12</v>
      </c>
      <c r="B27" s="8" t="inlineStr">
        <is>
          <t>Calculator</t>
        </is>
      </c>
      <c r="C27" s="9" t="n">
        <v>2</v>
      </c>
      <c r="D27" s="9" t="n">
        <v>0</v>
      </c>
      <c r="E27" s="9" t="n">
        <v>3</v>
      </c>
      <c r="F27" s="9">
        <f>IFERROR(MIN(C27,D27)*E27/C27,0)</f>
        <v/>
      </c>
      <c r="G27" s="9" t="n"/>
    </row>
    <row r="28" ht="14.15" customHeight="1">
      <c r="A28" s="7" t="n">
        <v>13</v>
      </c>
      <c r="B28" s="8" t="inlineStr">
        <is>
          <t>Fabric Cutting Scissor (6-10 inches)</t>
        </is>
      </c>
      <c r="C28" s="9" t="n">
        <v>5</v>
      </c>
      <c r="D28" s="9" t="n">
        <v>0</v>
      </c>
      <c r="E28" s="9" t="n">
        <v>4</v>
      </c>
      <c r="F28" s="9">
        <f>IFERROR(MIN(C28,D28)*E28/C28,0)</f>
        <v/>
      </c>
      <c r="G28" s="9" t="n"/>
    </row>
    <row r="29" ht="14.15" customHeight="1">
      <c r="A29" s="7" t="n">
        <v>14</v>
      </c>
      <c r="B29" s="8" t="inlineStr">
        <is>
          <t>Fabric Cutting Table (Min.  5 Feet)</t>
        </is>
      </c>
      <c r="C29" s="9" t="n">
        <v>1</v>
      </c>
      <c r="D29" s="9" t="n">
        <v>0</v>
      </c>
      <c r="E29" s="9" t="n">
        <v>6</v>
      </c>
      <c r="F29" s="9">
        <f>IFERROR(MIN(C29,D29)*E29/C29,0)</f>
        <v/>
      </c>
      <c r="G29" s="9" t="n"/>
    </row>
    <row r="30" ht="14.15" customHeight="1">
      <c r="A30" s="7" t="n">
        <v>15</v>
      </c>
      <c r="B30" s="8" t="inlineStr">
        <is>
          <t>Steam Iron Set</t>
        </is>
      </c>
      <c r="C30" s="9" t="n">
        <v>2</v>
      </c>
      <c r="D30" s="9" t="n">
        <v>0</v>
      </c>
      <c r="E30" s="9" t="n">
        <v>6</v>
      </c>
      <c r="F30" s="9">
        <f>IFERROR(MIN(C30,D30)*E30/C30,0)</f>
        <v/>
      </c>
      <c r="G30" s="9" t="n"/>
    </row>
    <row r="31" ht="14.15" customHeight="1">
      <c r="A31" s="7" t="n">
        <v>16</v>
      </c>
      <c r="B31" s="8" t="inlineStr">
        <is>
          <t>Steam Iron Table</t>
        </is>
      </c>
      <c r="C31" s="9" t="n">
        <v>2</v>
      </c>
      <c r="D31" s="9" t="n">
        <v>0</v>
      </c>
      <c r="E31" s="9" t="n">
        <v>5</v>
      </c>
      <c r="F31" s="9">
        <f>IFERROR(MIN(C31,D31)*E31/C31,0)</f>
        <v/>
      </c>
      <c r="G31" s="9" t="n"/>
    </row>
    <row r="32" ht="14.15" customHeight="1">
      <c r="A32" s="7" t="n">
        <v>17</v>
      </c>
      <c r="B32" s="8" t="inlineStr">
        <is>
          <t>Fabric Cutting Table (Min.  5 Feet)</t>
        </is>
      </c>
      <c r="C32" s="9" t="n">
        <v>1</v>
      </c>
      <c r="D32" s="9" t="n">
        <v>0</v>
      </c>
      <c r="E32" s="9" t="n">
        <v>6</v>
      </c>
      <c r="F32" s="9">
        <f>IFERROR(MIN(C32,D32)*E32/C32,0)</f>
        <v/>
      </c>
      <c r="G32" s="9" t="n"/>
    </row>
    <row r="33" ht="14.15" customHeight="1">
      <c r="A33" s="7" t="n">
        <v>18</v>
      </c>
      <c r="B33" s="8" t="inlineStr">
        <is>
          <t>Finishing Table (Min.  5 Feet)</t>
        </is>
      </c>
      <c r="C33" s="9" t="n">
        <v>1</v>
      </c>
      <c r="D33" s="9" t="n">
        <v>0</v>
      </c>
      <c r="E33" s="9" t="n">
        <v>5</v>
      </c>
      <c r="F33" s="9">
        <f>IFERROR(MIN(C33,D33)*E33/C33,0)</f>
        <v/>
      </c>
      <c r="G33" s="9" t="n"/>
    </row>
    <row r="34" ht="14.15" customHeight="1">
      <c r="A34" s="7" t="n">
        <v>19</v>
      </c>
      <c r="B34" s="8" t="inlineStr">
        <is>
          <t>Digital Video Camera</t>
        </is>
      </c>
      <c r="C34" s="9" t="n">
        <v>1</v>
      </c>
      <c r="D34" s="9" t="n">
        <v>0</v>
      </c>
      <c r="E34" s="9" t="n">
        <v>4</v>
      </c>
      <c r="F34" s="9">
        <f>IFERROR(MIN(C34,D34)*E34/C34,0)</f>
        <v/>
      </c>
      <c r="G34" s="9" t="n"/>
    </row>
    <row r="35" ht="14.15" customHeight="1">
      <c r="A35" s="7" t="n">
        <v>20</v>
      </c>
      <c r="B35" s="8" t="inlineStr">
        <is>
          <t>Printer</t>
        </is>
      </c>
      <c r="C35" s="9" t="n">
        <v>1</v>
      </c>
      <c r="D35" s="9" t="n">
        <v>0</v>
      </c>
      <c r="E35" s="9" t="n">
        <v>5</v>
      </c>
      <c r="F35" s="9">
        <f>IFERROR(MIN(C35,D35)*E35/C35,0)</f>
        <v/>
      </c>
      <c r="G35" s="9" t="n"/>
    </row>
    <row r="36" ht="14.15" customHeight="1">
      <c r="A36" s="7" t="n">
        <v>21</v>
      </c>
      <c r="B36" s="8" t="inlineStr">
        <is>
          <t>White board</t>
        </is>
      </c>
      <c r="C36" s="9" t="n">
        <v>1</v>
      </c>
      <c r="D36" s="9" t="n">
        <v>0</v>
      </c>
      <c r="E36" s="9" t="n">
        <v>3</v>
      </c>
      <c r="F36" s="9">
        <f>IFERROR(MIN(C36,D36)*E36/C36,0)</f>
        <v/>
      </c>
      <c r="G36" s="9" t="n"/>
    </row>
    <row r="37">
      <c r="A37" s="10" t="inlineStr">
        <is>
          <t>Sum</t>
        </is>
      </c>
      <c r="B37" s="11" t="n"/>
      <c r="C37" s="11" t="n"/>
      <c r="D37" s="12" t="n"/>
      <c r="E37" s="10">
        <f>SUM(E16:E36)</f>
        <v/>
      </c>
      <c r="F37" s="10">
        <f>SUM(F16:F36)</f>
        <v/>
      </c>
      <c r="G37" s="13" t="n"/>
    </row>
    <row r="38">
      <c r="A38" s="10" t="inlineStr">
        <is>
          <t>Score out of 100</t>
        </is>
      </c>
      <c r="B38" s="11" t="n"/>
      <c r="C38" s="11" t="n"/>
      <c r="D38" s="11" t="n"/>
      <c r="E38" s="12" t="n"/>
      <c r="F38" s="10">
        <f>F37/E37*100</f>
        <v/>
      </c>
      <c r="G38" s="13" t="n"/>
    </row>
    <row r="39" ht="9.75" customHeight="1"/>
    <row r="40">
      <c r="A40" s="10" t="inlineStr">
        <is>
          <t xml:space="preserve">Total achieved points out of 30  </t>
        </is>
      </c>
      <c r="B40" s="11" t="n"/>
      <c r="C40" s="11" t="n"/>
      <c r="D40" s="11" t="n"/>
      <c r="E40" s="12" t="n"/>
      <c r="F40" s="10">
        <f>F38*30/100</f>
        <v/>
      </c>
      <c r="G40" s="10" t="inlineStr">
        <is>
          <t>Points</t>
        </is>
      </c>
    </row>
  </sheetData>
  <mergeCells count="8">
    <mergeCell ref="A13:G13"/>
    <mergeCell ref="A37:D37"/>
    <mergeCell ref="C7:G7"/>
    <mergeCell ref="A1:G1"/>
    <mergeCell ref="A38:E38"/>
    <mergeCell ref="A39:G39"/>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Sweater Linking Operation</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Sweater Linking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Sweater Linking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White board</t>
        </is>
      </c>
      <c r="C19" s="9" t="n">
        <v>1</v>
      </c>
      <c r="D19" s="9" t="n">
        <v>0</v>
      </c>
      <c r="E19" s="9" t="n">
        <v>3</v>
      </c>
      <c r="F19" s="9">
        <f>IFERROR(MIN(C19,D19)*E19/C19,0)</f>
        <v/>
      </c>
      <c r="G19" s="9" t="n"/>
    </row>
    <row r="20" ht="14.15" customHeight="1">
      <c r="A20" s="7" t="n">
        <v>5</v>
      </c>
      <c r="B20" s="8" t="inlineStr">
        <is>
          <t>Display board with sweater parts and samples</t>
        </is>
      </c>
      <c r="C20" s="9" t="n">
        <v>1</v>
      </c>
      <c r="D20" s="9" t="n">
        <v>0</v>
      </c>
      <c r="E20" s="9" t="n">
        <v>5</v>
      </c>
      <c r="F20" s="9">
        <f>IFERROR(MIN(C20,D20)*E20/C20,0)</f>
        <v/>
      </c>
      <c r="G20" s="9" t="n"/>
    </row>
    <row r="21" ht="14.15" customHeight="1">
      <c r="A21" s="7" t="n">
        <v>6</v>
      </c>
      <c r="B21" s="8" t="inlineStr">
        <is>
          <t>Sweater Linking Machine (Dial)</t>
        </is>
      </c>
      <c r="C21" s="9" t="n">
        <v>30</v>
      </c>
      <c r="D21" s="9" t="n">
        <v>0</v>
      </c>
      <c r="E21" s="9" t="n">
        <v>9</v>
      </c>
      <c r="F21" s="9">
        <f>IFERROR(MIN(C21,D21)*E21/C21,0)</f>
        <v/>
      </c>
      <c r="G21" s="9" t="n"/>
    </row>
    <row r="22" ht="14.15" customHeight="1">
      <c r="A22" s="7" t="n">
        <v>7</v>
      </c>
      <c r="B22" s="8" t="inlineStr">
        <is>
          <t>Sweater Linking Machine (Cup seam)</t>
        </is>
      </c>
      <c r="C22" s="9" t="n">
        <v>1</v>
      </c>
      <c r="D22" s="9" t="n">
        <v>0</v>
      </c>
      <c r="E22" s="9" t="n">
        <v>8</v>
      </c>
      <c r="F22" s="9">
        <f>IFERROR(MIN(C22,D22)*E22/C22,0)</f>
        <v/>
      </c>
      <c r="G22" s="9" t="n"/>
    </row>
    <row r="23" ht="14.15" customHeight="1">
      <c r="A23" s="7" t="n">
        <v>8</v>
      </c>
      <c r="B23" s="8" t="inlineStr">
        <is>
          <t>Sweater Linking Machine (Super dial)</t>
        </is>
      </c>
      <c r="C23" s="9" t="n">
        <v>1</v>
      </c>
      <c r="D23" s="9" t="n">
        <v>0</v>
      </c>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Computerised Sweater Machine Operation</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Computerised Sweater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Computerised Sweater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Scanner</t>
        </is>
      </c>
      <c r="C19" s="9" t="n">
        <v>1</v>
      </c>
      <c r="D19" s="9" t="n">
        <v>0</v>
      </c>
      <c r="E19" s="9" t="n">
        <v>4</v>
      </c>
      <c r="F19" s="9">
        <f>IFERROR(MIN(C19,D19)*E19/C19,0)</f>
        <v/>
      </c>
      <c r="G19" s="9" t="n"/>
    </row>
    <row r="20" ht="14.15" customHeight="1">
      <c r="A20" s="7" t="n">
        <v>5</v>
      </c>
      <c r="B20" s="8" t="inlineStr">
        <is>
          <t>Printer</t>
        </is>
      </c>
      <c r="C20" s="9" t="n">
        <v>1</v>
      </c>
      <c r="D20" s="9" t="n">
        <v>0</v>
      </c>
      <c r="E20" s="9" t="n">
        <v>4</v>
      </c>
      <c r="F20" s="9">
        <f>IFERROR(MIN(C20,D20)*E20/C20,0)</f>
        <v/>
      </c>
      <c r="G20" s="9" t="n"/>
    </row>
    <row r="21" ht="14.15" customHeight="1">
      <c r="A21" s="7" t="n">
        <v>6</v>
      </c>
      <c r="B21" s="8" t="inlineStr">
        <is>
          <t>White board</t>
        </is>
      </c>
      <c r="C21" s="9" t="n">
        <v>1</v>
      </c>
      <c r="D21" s="9" t="n">
        <v>0</v>
      </c>
      <c r="E21" s="9" t="n">
        <v>3</v>
      </c>
      <c r="F21" s="9">
        <f>IFERROR(MIN(C21,D21)*E21/C21,0)</f>
        <v/>
      </c>
      <c r="G21" s="9" t="n"/>
    </row>
    <row r="22" ht="14.15" customHeight="1">
      <c r="A22" s="7" t="n">
        <v>7</v>
      </c>
      <c r="B22" s="8" t="inlineStr">
        <is>
          <t>Weighing Scale</t>
        </is>
      </c>
      <c r="C22" s="9" t="n">
        <v>1</v>
      </c>
      <c r="D22" s="9" t="n">
        <v>0</v>
      </c>
      <c r="E22" s="9" t="n">
        <v>4</v>
      </c>
      <c r="F22" s="9">
        <f>IFERROR(MIN(C22,D22)*E22/C22,0)</f>
        <v/>
      </c>
      <c r="G22" s="9" t="n"/>
    </row>
    <row r="23" ht="14.15" customHeight="1">
      <c r="A23" s="7" t="n">
        <v>8</v>
      </c>
      <c r="B23" s="8" t="inlineStr">
        <is>
          <t>Jacquard Machine (minimum)</t>
        </is>
      </c>
      <c r="C23" s="9" t="n">
        <v>10</v>
      </c>
      <c r="D23" s="9" t="n">
        <v>0</v>
      </c>
      <c r="E23" s="9" t="n">
        <v>9</v>
      </c>
      <c r="F23" s="9">
        <f>IFERROR(MIN(C23,D23)*E23/C23,0)</f>
        <v/>
      </c>
      <c r="G23" s="9" t="n"/>
    </row>
    <row r="24" ht="14.15" customHeight="1">
      <c r="A24" s="7" t="n">
        <v>9</v>
      </c>
      <c r="B24" s="8" t="inlineStr">
        <is>
          <t>Wooden working table (5’ x 3’)</t>
        </is>
      </c>
      <c r="C24" s="9" t="n">
        <v>2</v>
      </c>
      <c r="D24" s="9" t="n">
        <v>0</v>
      </c>
      <c r="E24" s="9" t="n">
        <v>4</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 (Multi Skills)</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 (Multi Skills)</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(Multi Skills),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Single Needle Lock Stitch Machine</t>
        </is>
      </c>
      <c r="C18" s="9" t="n">
        <v>30</v>
      </c>
      <c r="D18" s="9" t="n">
        <v>0</v>
      </c>
      <c r="E18" s="9" t="n">
        <v>9</v>
      </c>
      <c r="F18" s="9">
        <f>IFERROR(MIN(C18,D18)*E18/C18,0)</f>
        <v/>
      </c>
      <c r="G18" s="9" t="n"/>
    </row>
    <row r="19" ht="14.15" customHeight="1">
      <c r="A19" s="7" t="n">
        <v>4</v>
      </c>
      <c r="B19" s="8" t="inlineStr">
        <is>
          <t>Overlock Machine</t>
        </is>
      </c>
      <c r="C19" s="9" t="n">
        <v>5</v>
      </c>
      <c r="D19" s="9" t="n">
        <v>0</v>
      </c>
      <c r="E19" s="9" t="n">
        <v>8</v>
      </c>
      <c r="F19" s="9">
        <f>IFERROR(MIN(C19,D19)*E19/C19,0)</f>
        <v/>
      </c>
      <c r="G19" s="9" t="n"/>
    </row>
    <row r="20" ht="14.15" customHeight="1">
      <c r="A20" s="7" t="n">
        <v>5</v>
      </c>
      <c r="B20" s="8" t="inlineStr">
        <is>
          <t>Flat Lock Machine Operation</t>
        </is>
      </c>
      <c r="C20" s="9" t="n">
        <v>2</v>
      </c>
      <c r="D20" s="9" t="n">
        <v>0</v>
      </c>
      <c r="E20" s="9" t="n">
        <v>8</v>
      </c>
      <c r="F20" s="9">
        <f>IFERROR(MIN(C20,D20)*E20/C20,0)</f>
        <v/>
      </c>
      <c r="G20" s="9" t="n"/>
    </row>
    <row r="21" ht="14.15" customHeight="1">
      <c r="A21" s="7" t="n">
        <v>6</v>
      </c>
      <c r="B21" s="8" t="inlineStr">
        <is>
          <t>Double Needle Lock Stitch Machine</t>
        </is>
      </c>
      <c r="C21" s="9" t="n">
        <v>2</v>
      </c>
      <c r="D21" s="9" t="n">
        <v>0</v>
      </c>
      <c r="E21" s="9" t="n">
        <v>7</v>
      </c>
      <c r="F21" s="9">
        <f>IFERROR(MIN(C21,D21)*E21/C21,0)</f>
        <v/>
      </c>
      <c r="G21" s="9" t="n"/>
    </row>
    <row r="22" ht="14.15" customHeight="1">
      <c r="A22" s="7" t="n">
        <v>7</v>
      </c>
      <c r="B22" s="8" t="inlineStr">
        <is>
          <t>Feed of the Arm Machine</t>
        </is>
      </c>
      <c r="C22" s="9" t="n">
        <v>2</v>
      </c>
      <c r="D22" s="9" t="n">
        <v>0</v>
      </c>
      <c r="E22" s="9" t="n">
        <v>7</v>
      </c>
      <c r="F22" s="9">
        <f>IFERROR(MIN(C22,D22)*E22/C22,0)</f>
        <v/>
      </c>
      <c r="G22" s="9" t="n"/>
    </row>
    <row r="23" ht="14.15" customHeight="1">
      <c r="A23" s="7" t="n">
        <v>8</v>
      </c>
      <c r="B23" s="8" t="inlineStr">
        <is>
          <t>Multi Needle Chain Stitch Machine</t>
        </is>
      </c>
      <c r="C23" s="9" t="n">
        <v>3</v>
      </c>
      <c r="D23" s="9" t="n">
        <v>0</v>
      </c>
      <c r="E23" s="9" t="n">
        <v>7</v>
      </c>
      <c r="F23" s="9">
        <f>IFERROR(MIN(C23,D23)*E23/C23,0)</f>
        <v/>
      </c>
      <c r="G23" s="9" t="n"/>
    </row>
    <row r="24" ht="14.15" customHeight="1">
      <c r="A24" s="7" t="n">
        <v>9</v>
      </c>
      <c r="B24" s="8" t="inlineStr">
        <is>
          <t>Single Needle Chain Stitch Machine</t>
        </is>
      </c>
      <c r="C24" s="9" t="n">
        <v>2</v>
      </c>
      <c r="D24" s="9" t="n">
        <v>0</v>
      </c>
      <c r="E24" s="9" t="n">
        <v>7</v>
      </c>
      <c r="F24" s="9">
        <f>IFERROR(MIN(C24,D24)*E24/C24,0)</f>
        <v/>
      </c>
      <c r="G24" s="9" t="n"/>
    </row>
    <row r="25" ht="14.15" customHeight="1">
      <c r="A25" s="7" t="n">
        <v>10</v>
      </c>
      <c r="B25" s="8" t="inlineStr">
        <is>
          <t>Bar Tack Machine</t>
        </is>
      </c>
      <c r="C25" s="9" t="n">
        <v>2</v>
      </c>
      <c r="D25" s="9" t="n">
        <v>0</v>
      </c>
      <c r="E25" s="9" t="n">
        <v>7</v>
      </c>
      <c r="F25" s="9">
        <f>IFERROR(MIN(C25,D25)*E25/C25,0)</f>
        <v/>
      </c>
      <c r="G25" s="9" t="n"/>
    </row>
    <row r="26" ht="14.15" customHeight="1">
      <c r="A26" s="7" t="n">
        <v>11</v>
      </c>
      <c r="B26" s="8" t="inlineStr">
        <is>
          <t>Auto Pocket Welting (APW)</t>
        </is>
      </c>
      <c r="C26" s="9" t="n">
        <v>1</v>
      </c>
      <c r="D26" s="9" t="n">
        <v>0</v>
      </c>
      <c r="E26" s="9" t="n">
        <v>7</v>
      </c>
      <c r="F26" s="9">
        <f>IFERROR(MIN(C26,D26)*E26/C26,0)</f>
        <v/>
      </c>
      <c r="G26" s="9" t="n"/>
    </row>
    <row r="27" ht="14.15" customHeight="1">
      <c r="A27" s="7" t="n">
        <v>12</v>
      </c>
      <c r="B27" s="8" t="inlineStr">
        <is>
          <t>Quality check table (Min.  5 Feet)</t>
        </is>
      </c>
      <c r="C27" s="9" t="n">
        <v>2</v>
      </c>
      <c r="D27" s="9" t="n">
        <v>0</v>
      </c>
      <c r="E27" s="9" t="n">
        <v>5</v>
      </c>
      <c r="F27" s="9">
        <f>IFERROR(MIN(C27,D27)*E27/C27,0)</f>
        <v/>
      </c>
      <c r="G27" s="9" t="n"/>
    </row>
    <row r="28" ht="14.15" customHeight="1">
      <c r="A28" s="7" t="n">
        <v>13</v>
      </c>
      <c r="B28" s="8" t="inlineStr">
        <is>
          <t>Iron Set</t>
        </is>
      </c>
      <c r="C28" s="9" t="n">
        <v>2</v>
      </c>
      <c r="D28" s="9" t="n">
        <v>0</v>
      </c>
      <c r="E28" s="9" t="n">
        <v>6</v>
      </c>
      <c r="F28" s="9">
        <f>IFERROR(MIN(C28,D28)*E28/C28,0)</f>
        <v/>
      </c>
      <c r="G28" s="9" t="n"/>
    </row>
    <row r="29" ht="14.15" customHeight="1">
      <c r="A29" s="7" t="n">
        <v>14</v>
      </c>
      <c r="B29" s="8" t="inlineStr">
        <is>
          <t>Iron Table</t>
        </is>
      </c>
      <c r="C29" s="9" t="n">
        <v>2</v>
      </c>
      <c r="D29" s="9" t="n">
        <v>0</v>
      </c>
      <c r="E29" s="9" t="n">
        <v>5</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Supply Chain Management &amp; Production Planning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Supply Chain Management &amp; Production Planning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Supply Chain Management &amp; Production Planning,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Desktop Computer with Planning software</t>
        </is>
      </c>
      <c r="C16" s="9" t="n">
        <v>25</v>
      </c>
      <c r="D16" s="9" t="n">
        <v>0</v>
      </c>
      <c r="E16" s="9" t="n">
        <v>9</v>
      </c>
      <c r="F16" s="9">
        <f>IFERROR(MIN(C16,D16)*E16/C16,0)</f>
        <v/>
      </c>
      <c r="G16" s="9" t="n"/>
    </row>
    <row r="17" ht="14.15" customHeight="1">
      <c r="A17" s="7" t="n">
        <v>2</v>
      </c>
      <c r="B17" s="8" t="inlineStr">
        <is>
          <t>Laptop</t>
        </is>
      </c>
      <c r="C17" s="9" t="n">
        <v>1</v>
      </c>
      <c r="D17" s="9" t="n">
        <v>0</v>
      </c>
      <c r="E17" s="9" t="n">
        <v>6</v>
      </c>
      <c r="F17" s="9">
        <f>IFERROR(MIN(C17,D17)*E17/C17,0)</f>
        <v/>
      </c>
      <c r="G17" s="9" t="n"/>
    </row>
    <row r="18" ht="14.15" customHeight="1">
      <c r="A18" s="7" t="n">
        <v>3</v>
      </c>
      <c r="B18" s="8" t="inlineStr">
        <is>
          <t>Different Garment Sample (Woven &amp; Knit)</t>
        </is>
      </c>
      <c r="C18" s="9" t="n">
        <v>30</v>
      </c>
      <c r="D18" s="9" t="n">
        <v>0</v>
      </c>
      <c r="E18" s="9" t="n">
        <v>5</v>
      </c>
      <c r="F18" s="9">
        <f>IFERROR(MIN(C18,D18)*E18/C18,0)</f>
        <v/>
      </c>
      <c r="G18" s="9" t="n"/>
    </row>
    <row r="19" ht="14.15" customHeight="1">
      <c r="A19" s="7" t="n">
        <v>4</v>
      </c>
      <c r="B19" s="8" t="inlineStr">
        <is>
          <t>Different Fabric Sample (Woven &amp; Knit)</t>
        </is>
      </c>
      <c r="C19" s="9" t="n">
        <v>30</v>
      </c>
      <c r="D19" s="9" t="n">
        <v>0</v>
      </c>
      <c r="E19" s="9" t="n">
        <v>5</v>
      </c>
      <c r="F19" s="9">
        <f>IFERROR(MIN(C19,D19)*E19/C19,0)</f>
        <v/>
      </c>
      <c r="G19" s="9" t="n"/>
    </row>
    <row r="20" ht="14.15" customHeight="1">
      <c r="A20" s="7" t="n">
        <v>5</v>
      </c>
      <c r="B20" s="8" t="inlineStr">
        <is>
          <t>Display Board</t>
        </is>
      </c>
      <c r="C20" s="9" t="n">
        <v>2</v>
      </c>
      <c r="D20" s="9" t="n">
        <v>0</v>
      </c>
      <c r="E20" s="9" t="n">
        <v>4</v>
      </c>
      <c r="F20" s="9">
        <f>IFERROR(MIN(C20,D20)*E20/C20,0)</f>
        <v/>
      </c>
      <c r="G20" s="9" t="n"/>
    </row>
    <row r="21" ht="14.15" customHeight="1">
      <c r="A21" s="7" t="n">
        <v>6</v>
      </c>
      <c r="B21" s="8" t="inlineStr">
        <is>
          <t>Single needle lock stitch machine</t>
        </is>
      </c>
      <c r="C21" s="9" t="n">
        <v>1</v>
      </c>
      <c r="D21" s="9" t="n">
        <v>0</v>
      </c>
      <c r="E21" s="9" t="n">
        <v>5</v>
      </c>
      <c r="F21" s="9">
        <f>IFERROR(MIN(C21,D21)*E21/C21,0)</f>
        <v/>
      </c>
      <c r="G21" s="9" t="n"/>
    </row>
    <row r="22" ht="14.15" customHeight="1">
      <c r="A22" s="7" t="n">
        <v>7</v>
      </c>
      <c r="B22" s="8" t="inlineStr">
        <is>
          <t>Over lock machine</t>
        </is>
      </c>
      <c r="C22" s="9" t="n">
        <v>1</v>
      </c>
      <c r="D22" s="9" t="n">
        <v>0</v>
      </c>
      <c r="E22" s="9" t="n">
        <v>5</v>
      </c>
      <c r="F22" s="9">
        <f>IFERROR(MIN(C22,D22)*E22/C22,0)</f>
        <v/>
      </c>
      <c r="G22" s="9" t="n"/>
    </row>
    <row r="23" ht="14.15" customHeight="1">
      <c r="A23" s="7" t="n">
        <v>8</v>
      </c>
      <c r="B23" s="8" t="inlineStr">
        <is>
          <t>Flat lock machine</t>
        </is>
      </c>
      <c r="C23" s="9" t="n">
        <v>1</v>
      </c>
      <c r="D23" s="9" t="n">
        <v>0</v>
      </c>
      <c r="E23" s="9" t="n">
        <v>5</v>
      </c>
      <c r="F23" s="9">
        <f>IFERROR(MIN(C23,D23)*E23/C23,0)</f>
        <v/>
      </c>
      <c r="G23" s="9" t="n"/>
    </row>
    <row r="24" ht="14.15" customHeight="1">
      <c r="A24" s="7" t="n">
        <v>9</v>
      </c>
      <c r="B24" s="8" t="inlineStr">
        <is>
          <t>Multimedia projector screen</t>
        </is>
      </c>
      <c r="C24" s="9" t="n">
        <v>1</v>
      </c>
      <c r="D24" s="9" t="n">
        <v>0</v>
      </c>
      <c r="E24" s="9" t="n">
        <v>5</v>
      </c>
      <c r="F24" s="9">
        <f>IFERROR(MIN(C24,D24)*E24/C24,0)</f>
        <v/>
      </c>
      <c r="G24" s="9" t="n"/>
    </row>
    <row r="25" ht="14.15" customHeight="1">
      <c r="A25" s="7" t="n">
        <v>10</v>
      </c>
      <c r="B25" s="8" t="inlineStr">
        <is>
          <t>Scanner</t>
        </is>
      </c>
      <c r="C25" s="9" t="n">
        <v>1</v>
      </c>
      <c r="D25" s="9" t="n">
        <v>0</v>
      </c>
      <c r="E25" s="9" t="n">
        <v>4</v>
      </c>
      <c r="F25" s="9">
        <f>IFERROR(MIN(C25,D25)*E25/C25,0)</f>
        <v/>
      </c>
      <c r="G25" s="9" t="n"/>
    </row>
    <row r="26" ht="14.15" customHeight="1">
      <c r="A26" s="7" t="n">
        <v>11</v>
      </c>
      <c r="B26" s="8" t="inlineStr">
        <is>
          <t>Printer</t>
        </is>
      </c>
      <c r="C26" s="9" t="n">
        <v>1</v>
      </c>
      <c r="D26" s="9" t="n">
        <v>0</v>
      </c>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Engineering and Lean Manufacturing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Engineering and Lean Manufacturing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Engineering and Lean Manufacturing,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Single Needle Machine</t>
        </is>
      </c>
      <c r="C16" s="9" t="n">
        <v>2</v>
      </c>
      <c r="D16" s="9" t="n">
        <v>0</v>
      </c>
      <c r="E16" s="9" t="n">
        <v>8</v>
      </c>
      <c r="F16" s="9">
        <f>IFERROR(MIN(C16,D16)*E16/C16,0)</f>
        <v/>
      </c>
      <c r="G16" s="9" t="n"/>
    </row>
    <row r="17" ht="14.15" customHeight="1">
      <c r="A17" s="7" t="n">
        <v>2</v>
      </c>
      <c r="B17" s="8" t="inlineStr">
        <is>
          <t>Over Lock Machine</t>
        </is>
      </c>
      <c r="C17" s="9" t="n">
        <v>2</v>
      </c>
      <c r="D17" s="9" t="n">
        <v>0</v>
      </c>
      <c r="E17" s="9" t="n">
        <v>7</v>
      </c>
      <c r="F17" s="9">
        <f>IFERROR(MIN(C17,D17)*E17/C17,0)</f>
        <v/>
      </c>
      <c r="G17" s="9" t="n"/>
    </row>
    <row r="18" ht="14.15" customHeight="1">
      <c r="A18" s="7" t="n">
        <v>3</v>
      </c>
      <c r="B18" s="8" t="inlineStr">
        <is>
          <t>Flat Lock Machine</t>
        </is>
      </c>
      <c r="C18" s="9" t="n">
        <v>2</v>
      </c>
      <c r="D18" s="9" t="n">
        <v>0</v>
      </c>
      <c r="E18" s="9" t="n">
        <v>7</v>
      </c>
      <c r="F18" s="9">
        <f>IFERROR(MIN(C18,D18)*E18/C18,0)</f>
        <v/>
      </c>
      <c r="G18" s="9" t="n"/>
    </row>
    <row r="19" ht="14.15" customHeight="1">
      <c r="A19" s="7" t="n">
        <v>4</v>
      </c>
      <c r="B19" s="8" t="inlineStr">
        <is>
          <t>Double Needle Machine</t>
        </is>
      </c>
      <c r="C19" s="9" t="n">
        <v>1</v>
      </c>
      <c r="D19" s="9" t="n">
        <v>0</v>
      </c>
      <c r="E19" s="9" t="n">
        <v>6</v>
      </c>
      <c r="F19" s="9">
        <f>IFERROR(MIN(C19,D19)*E19/C19,0)</f>
        <v/>
      </c>
      <c r="G19" s="9" t="n"/>
    </row>
    <row r="20" ht="14.15" customHeight="1">
      <c r="A20" s="7" t="n">
        <v>5</v>
      </c>
      <c r="B20" s="8" t="inlineStr">
        <is>
          <t>Feed of the Arm Machine</t>
        </is>
      </c>
      <c r="C20" s="9" t="n">
        <v>1</v>
      </c>
      <c r="D20" s="9" t="n">
        <v>0</v>
      </c>
      <c r="E20" s="9" t="n">
        <v>6</v>
      </c>
      <c r="F20" s="9">
        <f>IFERROR(MIN(C20,D20)*E20/C20,0)</f>
        <v/>
      </c>
      <c r="G20" s="9" t="n"/>
    </row>
    <row r="21" ht="14.15" customHeight="1">
      <c r="A21" s="7" t="n">
        <v>6</v>
      </c>
      <c r="B21" s="8" t="inlineStr">
        <is>
          <t>Multi Needle Chain Stitch Machine</t>
        </is>
      </c>
      <c r="C21" s="9" t="n">
        <v>1</v>
      </c>
      <c r="D21" s="9" t="n">
        <v>0</v>
      </c>
      <c r="E21" s="9" t="n">
        <v>6</v>
      </c>
      <c r="F21" s="9">
        <f>IFERROR(MIN(C21,D21)*E21/C21,0)</f>
        <v/>
      </c>
      <c r="G21" s="9" t="n"/>
    </row>
    <row r="22" ht="14.15" customHeight="1">
      <c r="A22" s="7" t="n">
        <v>7</v>
      </c>
      <c r="B22" s="8" t="inlineStr">
        <is>
          <t>Bar Tack Machine</t>
        </is>
      </c>
      <c r="C22" s="9" t="n">
        <v>1</v>
      </c>
      <c r="D22" s="9" t="n">
        <v>0</v>
      </c>
      <c r="E22" s="9" t="n">
        <v>6</v>
      </c>
      <c r="F22" s="9">
        <f>IFERROR(MIN(C22,D22)*E22/C22,0)</f>
        <v/>
      </c>
      <c r="G22" s="9" t="n"/>
    </row>
    <row r="23" ht="14.15" customHeight="1">
      <c r="A23" s="7" t="n">
        <v>8</v>
      </c>
      <c r="B23" s="8" t="inlineStr">
        <is>
          <t>Button Stitch</t>
        </is>
      </c>
      <c r="C23" s="9" t="n">
        <v>1</v>
      </c>
      <c r="D23" s="9" t="n">
        <v>0</v>
      </c>
      <c r="E23" s="9" t="n">
        <v>6</v>
      </c>
      <c r="F23" s="9">
        <f>IFERROR(MIN(C23,D23)*E23/C23,0)</f>
        <v/>
      </c>
      <c r="G23" s="9" t="n"/>
    </row>
    <row r="24" ht="14.15" customHeight="1">
      <c r="A24" s="7" t="n">
        <v>9</v>
      </c>
      <c r="B24" s="8" t="inlineStr">
        <is>
          <t>Button Hole Machine</t>
        </is>
      </c>
      <c r="C24" s="9" t="n">
        <v>1</v>
      </c>
      <c r="D24" s="9" t="n">
        <v>0</v>
      </c>
      <c r="E24" s="9" t="n">
        <v>6</v>
      </c>
      <c r="F24" s="9">
        <f>IFERROR(MIN(C24,D24)*E24/C24,0)</f>
        <v/>
      </c>
      <c r="G24" s="9" t="n"/>
    </row>
    <row r="25" ht="14.15" customHeight="1">
      <c r="A25" s="7" t="n">
        <v>10</v>
      </c>
      <c r="B25" s="8" t="inlineStr">
        <is>
          <t>Eyelet Machine</t>
        </is>
      </c>
      <c r="C25" s="9" t="n">
        <v>1</v>
      </c>
      <c r="D25" s="9" t="n">
        <v>0</v>
      </c>
      <c r="E25" s="9" t="n">
        <v>6</v>
      </c>
      <c r="F25" s="9">
        <f>IFERROR(MIN(C25,D25)*E25/C25,0)</f>
        <v/>
      </c>
      <c r="G25" s="9" t="n"/>
    </row>
    <row r="26" ht="14.15" customHeight="1">
      <c r="A26" s="7" t="n">
        <v>11</v>
      </c>
      <c r="B26" s="8" t="inlineStr">
        <is>
          <t>Digital Video Camera</t>
        </is>
      </c>
      <c r="C26" s="9" t="n">
        <v>1</v>
      </c>
      <c r="D26" s="9" t="n">
        <v>0</v>
      </c>
      <c r="E26" s="9" t="n">
        <v>7</v>
      </c>
      <c r="F26" s="9">
        <f>IFERROR(MIN(C26,D26)*E26/C26,0)</f>
        <v/>
      </c>
      <c r="G26" s="9" t="n"/>
    </row>
    <row r="27" ht="14.15" customHeight="1">
      <c r="A27" s="7" t="n">
        <v>12</v>
      </c>
      <c r="B27" s="8" t="inlineStr">
        <is>
          <t>GSM Cutter</t>
        </is>
      </c>
      <c r="C27" s="9" t="n">
        <v>1</v>
      </c>
      <c r="D27" s="9" t="n">
        <v>0</v>
      </c>
      <c r="E27" s="9" t="n">
        <v>5</v>
      </c>
      <c r="F27" s="9">
        <f>IFERROR(MIN(C27,D27)*E27/C27,0)</f>
        <v/>
      </c>
      <c r="G27" s="9" t="n"/>
    </row>
    <row r="28" ht="14.15" customHeight="1">
      <c r="A28" s="7" t="n">
        <v>13</v>
      </c>
      <c r="B28" s="8" t="inlineStr">
        <is>
          <t>GSM Scale</t>
        </is>
      </c>
      <c r="C28" s="9" t="n">
        <v>1</v>
      </c>
      <c r="D28" s="9" t="n">
        <v>0</v>
      </c>
      <c r="E28" s="9" t="n">
        <v>5</v>
      </c>
      <c r="F28" s="9">
        <f>IFERROR(MIN(C28,D28)*E28/C28,0)</f>
        <v/>
      </c>
      <c r="G28" s="9" t="n"/>
    </row>
    <row r="29" ht="14.15" customHeight="1">
      <c r="A29" s="7" t="n">
        <v>14</v>
      </c>
      <c r="B29" s="8" t="inlineStr">
        <is>
          <t>Measuring Tape</t>
        </is>
      </c>
      <c r="C29" s="9" t="n">
        <v>25</v>
      </c>
      <c r="D29" s="9" t="n">
        <v>0</v>
      </c>
      <c r="E29" s="9" t="n">
        <v>3</v>
      </c>
      <c r="F29" s="9">
        <f>IFERROR(MIN(C29,D29)*E29/C29,0)</f>
        <v/>
      </c>
      <c r="G29" s="9" t="n"/>
    </row>
    <row r="30" ht="14.15" customHeight="1">
      <c r="A30" s="7" t="n">
        <v>15</v>
      </c>
      <c r="B30" s="8" t="inlineStr">
        <is>
          <t>Multimedia Projector with Screen</t>
        </is>
      </c>
      <c r="C30" s="9" t="n">
        <v>1</v>
      </c>
      <c r="D30" s="9" t="n">
        <v>0</v>
      </c>
      <c r="E30" s="9" t="n">
        <v>5</v>
      </c>
      <c r="F30" s="9">
        <f>IFERROR(MIN(C30,D30)*E30/C30,0)</f>
        <v/>
      </c>
      <c r="G30" s="9" t="n"/>
    </row>
    <row r="31" ht="14.15" customHeight="1">
      <c r="A31" s="7" t="n">
        <v>16</v>
      </c>
      <c r="B31" s="8" t="inlineStr">
        <is>
          <t>Stop Watch</t>
        </is>
      </c>
      <c r="C31" s="9" t="n">
        <v>25</v>
      </c>
      <c r="D31" s="9" t="n">
        <v>0</v>
      </c>
      <c r="E31" s="9" t="n">
        <v>8</v>
      </c>
      <c r="F31" s="9">
        <f>IFERROR(MIN(C31,D31)*E31/C31,0)</f>
        <v/>
      </c>
      <c r="G31" s="9" t="n"/>
    </row>
    <row r="32" ht="14.15" customHeight="1">
      <c r="A32" s="7" t="n">
        <v>17</v>
      </c>
      <c r="B32" s="8" t="inlineStr">
        <is>
          <t>Calculator</t>
        </is>
      </c>
      <c r="C32" s="9" t="n">
        <v>10</v>
      </c>
      <c r="D32" s="9" t="n">
        <v>0</v>
      </c>
      <c r="E32" s="9" t="n">
        <v>3</v>
      </c>
      <c r="F32" s="9">
        <f>IFERROR(MIN(C32,D32)*E32/C32,0)</f>
        <v/>
      </c>
      <c r="G32" s="9" t="n"/>
    </row>
    <row r="33" ht="14.15" customHeight="1">
      <c r="A33" s="7" t="n">
        <v>18</v>
      </c>
      <c r="B33" s="8" t="inlineStr">
        <is>
          <t>Desktop Computer/Laptop</t>
        </is>
      </c>
      <c r="C33" s="9" t="n">
        <v>5</v>
      </c>
      <c r="D33" s="9" t="n">
        <v>0</v>
      </c>
      <c r="E33" s="9" t="n">
        <v>6</v>
      </c>
      <c r="F33" s="9">
        <f>IFERROR(MIN(C33,D33)*E33/C33,0)</f>
        <v/>
      </c>
      <c r="G33" s="9" t="n"/>
    </row>
    <row r="34" ht="14.15" customHeight="1">
      <c r="A34" s="7" t="n">
        <v>19</v>
      </c>
      <c r="B34" s="8" t="inlineStr">
        <is>
          <t>Printer</t>
        </is>
      </c>
      <c r="C34" s="9" t="n">
        <v>1</v>
      </c>
      <c r="D34" s="9" t="n">
        <v>0</v>
      </c>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Quality Control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Quality Control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Quality Control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2</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Display Board Samples of trims (sewing trims, finishing trims) and accessories (informative, decorative, paper, plastic)</t>
        </is>
      </c>
      <c r="C19" s="9" t="n">
        <v>10</v>
      </c>
      <c r="D19" s="9" t="n">
        <v>0</v>
      </c>
      <c r="E19" s="9" t="n">
        <v>5</v>
      </c>
      <c r="F19" s="9">
        <f>IFERROR(MIN(C19,D19)*E19/C19,0)</f>
        <v/>
      </c>
      <c r="G19" s="9" t="n"/>
    </row>
    <row r="20" ht="14.15" customHeight="1">
      <c r="A20" s="7" t="n">
        <v>5</v>
      </c>
      <c r="B20" s="8" t="inlineStr">
        <is>
          <t>Fabric defect samples (yarn defects, weaving/knit defects, dyeing/printing/finishing defects)</t>
        </is>
      </c>
      <c r="C20" s="9" t="n">
        <v>20</v>
      </c>
      <c r="D20" s="9" t="n">
        <v>0</v>
      </c>
      <c r="E20" s="9" t="n">
        <v>5</v>
      </c>
      <c r="F20" s="9">
        <f>IFERROR(MIN(C20,D20)*E20/C20,0)</f>
        <v/>
      </c>
      <c r="G20" s="9" t="n"/>
    </row>
    <row r="21" ht="14.15" customHeight="1">
      <c r="A21" s="7" t="n">
        <v>6</v>
      </c>
      <c r="B21" s="8" t="inlineStr">
        <is>
          <t>Samples of different embellishments defect (prints, embroidery)</t>
        </is>
      </c>
      <c r="C21" s="9" t="n">
        <v>20</v>
      </c>
      <c r="D21" s="9" t="n">
        <v>0</v>
      </c>
      <c r="E21" s="9" t="n">
        <v>5</v>
      </c>
      <c r="F21" s="9">
        <f>IFERROR(MIN(C21,D21)*E21/C21,0)</f>
        <v/>
      </c>
      <c r="G21" s="9" t="n"/>
    </row>
    <row r="22" ht="14.15" customHeight="1">
      <c r="A22" s="7" t="n">
        <v>7</v>
      </c>
      <c r="B22" s="8" t="inlineStr">
        <is>
          <t>Samples of garment defects</t>
        </is>
      </c>
      <c r="C22" s="9" t="n">
        <v>20</v>
      </c>
      <c r="D22" s="9" t="n">
        <v>0</v>
      </c>
      <c r="E22" s="9" t="n">
        <v>5</v>
      </c>
      <c r="F22" s="9">
        <f>IFERROR(MIN(C22,D22)*E22/C22,0)</f>
        <v/>
      </c>
      <c r="G22" s="9" t="n"/>
    </row>
    <row r="23" ht="14.15" customHeight="1">
      <c r="A23" s="7" t="n">
        <v>8</v>
      </c>
      <c r="B23" s="8" t="inlineStr">
        <is>
          <t>Garments Inspection Table with Lighting System</t>
        </is>
      </c>
      <c r="C23" s="9" t="n">
        <v>2</v>
      </c>
      <c r="D23" s="9" t="n">
        <v>0</v>
      </c>
      <c r="E23" s="9" t="n">
        <v>8</v>
      </c>
      <c r="F23" s="9">
        <f>IFERROR(MIN(C23,D23)*E23/C23,0)</f>
        <v/>
      </c>
      <c r="G23" s="9" t="n"/>
    </row>
    <row r="24" ht="14.15" customHeight="1">
      <c r="A24" s="7" t="n">
        <v>9</v>
      </c>
      <c r="B24" s="8" t="inlineStr">
        <is>
          <t>Fabric Inspection Table with Lighting System (min. 6 feet)</t>
        </is>
      </c>
      <c r="C24" s="9" t="n">
        <v>2</v>
      </c>
      <c r="D24" s="9" t="n">
        <v>0</v>
      </c>
      <c r="E24" s="9" t="n">
        <v>8</v>
      </c>
      <c r="F24" s="9">
        <f>IFERROR(MIN(C24,D24)*E24/C24,0)</f>
        <v/>
      </c>
      <c r="G24" s="9" t="n"/>
    </row>
    <row r="25" ht="14.15" customHeight="1">
      <c r="A25" s="7" t="n">
        <v>10</v>
      </c>
      <c r="B25" s="8" t="inlineStr">
        <is>
          <t>Fabric Inspection Machine</t>
        </is>
      </c>
      <c r="C25" s="9" t="n">
        <v>1</v>
      </c>
      <c r="D25" s="9" t="n">
        <v>0</v>
      </c>
      <c r="E25" s="9" t="n">
        <v>9</v>
      </c>
      <c r="F25" s="9">
        <f>IFERROR(MIN(C25,D25)*E25/C25,0)</f>
        <v/>
      </c>
      <c r="G25" s="9" t="n"/>
    </row>
    <row r="26" ht="14.15" customHeight="1">
      <c r="A26" s="7" t="n">
        <v>11</v>
      </c>
      <c r="B26" s="8" t="inlineStr">
        <is>
          <t>Tensile testers for fabric strength testing</t>
        </is>
      </c>
      <c r="C26" s="9" t="n">
        <v>1</v>
      </c>
      <c r="D26" s="9" t="n">
        <v>0</v>
      </c>
      <c r="E26" s="9" t="n">
        <v>8</v>
      </c>
      <c r="F26" s="9">
        <f>IFERROR(MIN(C26,D26)*E26/C26,0)</f>
        <v/>
      </c>
      <c r="G26" s="9" t="n"/>
    </row>
    <row r="27" ht="14.15" customHeight="1">
      <c r="A27" s="7" t="n">
        <v>12</v>
      </c>
      <c r="B27" s="8" t="inlineStr">
        <is>
          <t>Pilling testers for fabric surface quality evaluation</t>
        </is>
      </c>
      <c r="C27" s="9" t="n">
        <v>1</v>
      </c>
      <c r="D27" s="9" t="n">
        <v>0</v>
      </c>
      <c r="E27" s="9" t="n">
        <v>8</v>
      </c>
      <c r="F27" s="9">
        <f>IFERROR(MIN(C27,D27)*E27/C27,0)</f>
        <v/>
      </c>
      <c r="G27" s="9" t="n"/>
    </row>
    <row r="28" ht="14.15" customHeight="1">
      <c r="A28" s="7" t="n">
        <v>13</v>
      </c>
      <c r="B28" s="8" t="inlineStr">
        <is>
          <t>Abrasion testers for wear and tear simulation</t>
        </is>
      </c>
      <c r="C28" s="9" t="n">
        <v>1</v>
      </c>
      <c r="D28" s="9" t="n">
        <v>0</v>
      </c>
      <c r="E28" s="9" t="n">
        <v>8</v>
      </c>
      <c r="F28" s="9">
        <f>IFERROR(MIN(C28,D28)*E28/C28,0)</f>
        <v/>
      </c>
      <c r="G28" s="9" t="n"/>
    </row>
    <row r="29" ht="14.15" customHeight="1">
      <c r="A29" s="7" t="n">
        <v>14</v>
      </c>
      <c r="B29" s="8" t="inlineStr">
        <is>
          <t>Colour fastness testers for colour durability assessment</t>
        </is>
      </c>
      <c r="C29" s="9" t="n">
        <v>1</v>
      </c>
      <c r="D29" s="9" t="n">
        <v>0</v>
      </c>
      <c r="E29" s="9" t="n">
        <v>8</v>
      </c>
      <c r="F29" s="9">
        <f>IFERROR(MIN(C29,D29)*E29/C29,0)</f>
        <v/>
      </c>
      <c r="G29" s="9" t="n"/>
    </row>
    <row r="30" ht="14.15" customHeight="1">
      <c r="A30" s="7" t="n">
        <v>15</v>
      </c>
      <c r="B30" s="8" t="inlineStr">
        <is>
          <t>Gray scale</t>
        </is>
      </c>
      <c r="C30" s="9" t="n">
        <v>6</v>
      </c>
      <c r="D30" s="9" t="n">
        <v>0</v>
      </c>
      <c r="E30" s="9" t="n">
        <v>4</v>
      </c>
      <c r="F30" s="9">
        <f>IFERROR(MIN(C30,D30)*E30/C30,0)</f>
        <v/>
      </c>
      <c r="G30" s="9" t="n"/>
    </row>
    <row r="31" ht="14.15" customHeight="1">
      <c r="A31" s="7" t="n">
        <v>16</v>
      </c>
      <c r="B31" s="8" t="inlineStr">
        <is>
          <t>Measurement tape</t>
        </is>
      </c>
      <c r="C31" s="9" t="n">
        <v>26</v>
      </c>
      <c r="D31" s="9" t="n">
        <v>0</v>
      </c>
      <c r="E31" s="9" t="n">
        <v>3</v>
      </c>
      <c r="F31" s="9">
        <f>IFERROR(MIN(C31,D31)*E31/C31,0)</f>
        <v/>
      </c>
      <c r="G31" s="9" t="n"/>
    </row>
    <row r="32" ht="14.15" customHeight="1">
      <c r="A32" s="7" t="n">
        <v>17</v>
      </c>
      <c r="B32" s="8" t="inlineStr">
        <is>
          <t>Light Box</t>
        </is>
      </c>
      <c r="C32" s="9" t="n">
        <v>1</v>
      </c>
      <c r="D32" s="9" t="n">
        <v>0</v>
      </c>
      <c r="E32" s="9" t="n">
        <v>6</v>
      </c>
      <c r="F32" s="9">
        <f>IFERROR(MIN(C32,D32)*E32/C32,0)</f>
        <v/>
      </c>
      <c r="G32" s="9" t="n"/>
    </row>
    <row r="33" ht="14.15" customHeight="1">
      <c r="A33" s="7" t="n">
        <v>18</v>
      </c>
      <c r="B33" s="8" t="inlineStr">
        <is>
          <t>GSM Cutter</t>
        </is>
      </c>
      <c r="C33" s="9" t="n">
        <v>2</v>
      </c>
      <c r="D33" s="9" t="n">
        <v>0</v>
      </c>
      <c r="E33" s="9" t="n">
        <v>4</v>
      </c>
      <c r="F33" s="9">
        <f>IFERROR(MIN(C33,D33)*E33/C33,0)</f>
        <v/>
      </c>
      <c r="G33" s="9" t="n"/>
    </row>
    <row r="34" ht="14.15" customHeight="1">
      <c r="A34" s="7" t="n">
        <v>19</v>
      </c>
      <c r="B34" s="8" t="inlineStr">
        <is>
          <t>Button Pull Test Machine</t>
        </is>
      </c>
      <c r="C34" s="9" t="n">
        <v>1</v>
      </c>
      <c r="D34" s="9" t="n">
        <v>0</v>
      </c>
      <c r="E34" s="9" t="n">
        <v>7</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Business Development and Merchandising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Business Development and Merchandising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Business Development and Merchandising,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5</v>
      </c>
      <c r="D16" s="9" t="n">
        <v>0</v>
      </c>
      <c r="E16" s="9" t="n">
        <v>6</v>
      </c>
      <c r="F16" s="9">
        <f>IFERROR(MIN(C16,D16)*E16/C16,0)</f>
        <v/>
      </c>
      <c r="G16" s="9" t="n"/>
    </row>
    <row r="17" ht="14.15" customHeight="1">
      <c r="A17" s="7" t="n">
        <v>2</v>
      </c>
      <c r="B17" s="8" t="inlineStr">
        <is>
          <t>Internet connectivity</t>
        </is>
      </c>
      <c r="C17" s="9" t="n">
        <v>1</v>
      </c>
      <c r="D17" s="9" t="n">
        <v>0</v>
      </c>
      <c r="E17" s="9" t="n">
        <v>5</v>
      </c>
      <c r="F17" s="9">
        <f>IFERROR(MIN(C17,D17)*E17/C17,0)</f>
        <v/>
      </c>
      <c r="G17" s="9" t="n"/>
    </row>
    <row r="18" ht="14.15" customHeight="1">
      <c r="A18" s="7" t="n">
        <v>3</v>
      </c>
      <c r="B18" s="8" t="inlineStr">
        <is>
          <t>Multimedia projector &amp; screen</t>
        </is>
      </c>
      <c r="C18" s="9" t="n">
        <v>1</v>
      </c>
      <c r="D18" s="9" t="n">
        <v>0</v>
      </c>
      <c r="E18" s="9" t="n">
        <v>5</v>
      </c>
      <c r="F18" s="9">
        <f>IFERROR(MIN(C18,D18)*E18/C18,0)</f>
        <v/>
      </c>
      <c r="G18" s="9" t="n"/>
    </row>
    <row r="19" ht="14.15" customHeight="1">
      <c r="A19" s="7" t="n">
        <v>4</v>
      </c>
      <c r="B19" s="8" t="inlineStr">
        <is>
          <t>Fabric Swatches and Trims</t>
        </is>
      </c>
      <c r="C19" s="9" t="n">
        <v>25</v>
      </c>
      <c r="D19" s="9" t="n">
        <v>0</v>
      </c>
      <c r="E19" s="9" t="n">
        <v>5</v>
      </c>
      <c r="F19" s="9">
        <f>IFERROR(MIN(C19,D19)*E19/C19,0)</f>
        <v/>
      </c>
      <c r="G19" s="9" t="n"/>
    </row>
    <row r="20" ht="14.15" customHeight="1">
      <c r="A20" s="7" t="n">
        <v>5</v>
      </c>
      <c r="B20" s="8" t="inlineStr">
        <is>
          <t>Garments sample (Knit, Woven and Sweater)</t>
        </is>
      </c>
      <c r="C20" s="9" t="n">
        <v>30</v>
      </c>
      <c r="D20" s="9" t="n">
        <v>0</v>
      </c>
      <c r="E20" s="9" t="n">
        <v>5</v>
      </c>
      <c r="F20" s="9">
        <f>IFERROR(MIN(C20,D20)*E20/C20,0)</f>
        <v/>
      </c>
      <c r="G20" s="9" t="n"/>
    </row>
    <row r="21" ht="14.15" customHeight="1">
      <c r="A21" s="7" t="n">
        <v>6</v>
      </c>
      <c r="B21" s="8" t="inlineStr">
        <is>
          <t>Mannequin doll (Child, male and female)</t>
        </is>
      </c>
      <c r="C21" s="9" t="n">
        <v>5</v>
      </c>
      <c r="D21" s="9" t="n">
        <v>0</v>
      </c>
      <c r="E21" s="9" t="n">
        <v>5</v>
      </c>
      <c r="F21" s="9">
        <f>IFERROR(MIN(C21,D21)*E21/C21,0)</f>
        <v/>
      </c>
      <c r="G21" s="9" t="n"/>
    </row>
    <row r="22" ht="14.15" customHeight="1">
      <c r="A22" s="7" t="n">
        <v>7</v>
      </c>
      <c r="B22" s="8" t="inlineStr">
        <is>
          <t>Working Table (Minimum 6 feet)</t>
        </is>
      </c>
      <c r="C22" s="9" t="n">
        <v>5</v>
      </c>
      <c r="D22" s="9" t="n">
        <v>0</v>
      </c>
      <c r="E22" s="9" t="n">
        <v>4</v>
      </c>
      <c r="F22" s="9">
        <f>IFERROR(MIN(C22,D22)*E22/C22,0)</f>
        <v/>
      </c>
      <c r="G22" s="9" t="n"/>
    </row>
    <row r="23" ht="14.15" customHeight="1">
      <c r="A23" s="7" t="n">
        <v>8</v>
      </c>
      <c r="B23" s="8" t="inlineStr">
        <is>
          <t>Counting glass/Pick glass</t>
        </is>
      </c>
      <c r="C23" s="9" t="n">
        <v>10</v>
      </c>
      <c r="D23" s="9" t="n">
        <v>0</v>
      </c>
      <c r="E23" s="9" t="n">
        <v>4</v>
      </c>
      <c r="F23" s="9">
        <f>IFERROR(MIN(C23,D23)*E23/C23,0)</f>
        <v/>
      </c>
      <c r="G23" s="9" t="n"/>
    </row>
    <row r="24" ht="14.15" customHeight="1">
      <c r="A24" s="7" t="n">
        <v>9</v>
      </c>
      <c r="B24" s="8" t="inlineStr">
        <is>
          <t>Weighing machine</t>
        </is>
      </c>
      <c r="C24" s="9" t="n">
        <v>2</v>
      </c>
      <c r="D24" s="9" t="n">
        <v>0</v>
      </c>
      <c r="E24" s="9" t="n">
        <v>4</v>
      </c>
      <c r="F24" s="9">
        <f>IFERROR(MIN(C24,D24)*E24/C24,0)</f>
        <v/>
      </c>
      <c r="G24" s="9" t="n"/>
    </row>
    <row r="25" ht="14.15" customHeight="1">
      <c r="A25" s="7" t="n">
        <v>10</v>
      </c>
      <c r="B25" s="8" t="inlineStr">
        <is>
          <t>GSM cutter and scale</t>
        </is>
      </c>
      <c r="C25" s="9" t="n">
        <v>2</v>
      </c>
      <c r="D25" s="9" t="n">
        <v>0</v>
      </c>
      <c r="E25" s="9" t="n">
        <v>4</v>
      </c>
      <c r="F25" s="9">
        <f>IFERROR(MIN(C25,D25)*E25/C25,0)</f>
        <v/>
      </c>
      <c r="G25" s="9" t="n"/>
    </row>
    <row r="26" ht="14.15" customHeight="1">
      <c r="A26" s="7" t="n">
        <v>11</v>
      </c>
      <c r="B26" s="8" t="inlineStr">
        <is>
          <t>Sample BOM sheet (Tech-pack)</t>
        </is>
      </c>
      <c r="C26" s="9" t="n">
        <v>10</v>
      </c>
      <c r="D26" s="9" t="n">
        <v>0</v>
      </c>
      <c r="E26" s="9" t="n">
        <v>3</v>
      </c>
      <c r="F26" s="9">
        <f>IFERROR(MIN(C26,D26)*E26/C26,0)</f>
        <v/>
      </c>
      <c r="G26" s="9" t="n"/>
    </row>
    <row r="27" ht="14.15" customHeight="1">
      <c r="A27" s="7" t="n">
        <v>12</v>
      </c>
      <c r="B27" s="8" t="inlineStr">
        <is>
          <t>Single needle lock stitch machine</t>
        </is>
      </c>
      <c r="C27" s="9" t="n">
        <v>1</v>
      </c>
      <c r="D27" s="9" t="n">
        <v>0</v>
      </c>
      <c r="E27" s="9" t="n">
        <v>5</v>
      </c>
      <c r="F27" s="9">
        <f>IFERROR(MIN(C27,D27)*E27/C27,0)</f>
        <v/>
      </c>
      <c r="G27" s="9" t="n"/>
    </row>
    <row r="28" ht="14.15" customHeight="1">
      <c r="A28" s="7" t="n">
        <v>13</v>
      </c>
      <c r="B28" s="8" t="inlineStr">
        <is>
          <t>Single needle chain stitch machine</t>
        </is>
      </c>
      <c r="C28" s="9" t="n">
        <v>1</v>
      </c>
      <c r="D28" s="9" t="n">
        <v>0</v>
      </c>
      <c r="E28" s="9" t="n">
        <v>5</v>
      </c>
      <c r="F28" s="9">
        <f>IFERROR(MIN(C28,D28)*E28/C28,0)</f>
        <v/>
      </c>
      <c r="G28" s="9" t="n"/>
    </row>
    <row r="29" ht="14.15" customHeight="1">
      <c r="A29" s="7" t="n">
        <v>14</v>
      </c>
      <c r="B29" s="8" t="inlineStr">
        <is>
          <t>Over lock machine</t>
        </is>
      </c>
      <c r="C29" s="9" t="n">
        <v>1</v>
      </c>
      <c r="D29" s="9" t="n">
        <v>0</v>
      </c>
      <c r="E29" s="9" t="n">
        <v>5</v>
      </c>
      <c r="F29" s="9">
        <f>IFERROR(MIN(C29,D29)*E29/C29,0)</f>
        <v/>
      </c>
      <c r="G29" s="9" t="n"/>
    </row>
    <row r="30" ht="14.15" customHeight="1">
      <c r="A30" s="7" t="n">
        <v>15</v>
      </c>
      <c r="B30" s="8" t="inlineStr">
        <is>
          <t>Flat lock machine</t>
        </is>
      </c>
      <c r="C30" s="9" t="n">
        <v>1</v>
      </c>
      <c r="D30" s="9" t="n">
        <v>0</v>
      </c>
      <c r="E30" s="9" t="n">
        <v>5</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Social Compliance and Environmental Management</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Social Compliance and Environmental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Social Compliance and Environmental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Scanner</t>
        </is>
      </c>
      <c r="C18" s="9" t="n">
        <v>1</v>
      </c>
      <c r="D18" s="9" t="n">
        <v>0</v>
      </c>
      <c r="E18" s="9" t="n">
        <v>4</v>
      </c>
      <c r="F18" s="9">
        <f>IFERROR(MIN(C18,D18)*E18/C18,0)</f>
        <v/>
      </c>
      <c r="G18" s="9" t="n"/>
    </row>
    <row r="19" ht="14.15" customHeight="1">
      <c r="A19" s="7" t="n">
        <v>4</v>
      </c>
      <c r="B19" s="8" t="inlineStr">
        <is>
          <t>Printer</t>
        </is>
      </c>
      <c r="C19" s="9" t="n">
        <v>1</v>
      </c>
      <c r="D19" s="9" t="n">
        <v>0</v>
      </c>
      <c r="E19" s="9" t="n">
        <v>4</v>
      </c>
      <c r="F19" s="9">
        <f>IFERROR(MIN(C19,D19)*E19/C19,0)</f>
        <v/>
      </c>
      <c r="G19" s="9" t="n"/>
    </row>
    <row r="20" ht="14.15" customHeight="1">
      <c r="A20" s="7" t="n">
        <v>5</v>
      </c>
      <c r="B20" s="8" t="inlineStr">
        <is>
          <t>First Aid Box</t>
        </is>
      </c>
      <c r="C20" s="9" t="n">
        <v>5</v>
      </c>
      <c r="D20" s="9" t="n">
        <v>0</v>
      </c>
      <c r="E20" s="9" t="n">
        <v>6</v>
      </c>
      <c r="F20" s="9">
        <f>IFERROR(MIN(C20,D20)*E20/C20,0)</f>
        <v/>
      </c>
      <c r="G20" s="9" t="n"/>
    </row>
    <row r="21" ht="14.15" customHeight="1">
      <c r="A21" s="7" t="n">
        <v>6</v>
      </c>
      <c r="B21" s="8" t="inlineStr">
        <is>
          <t>Lux meter</t>
        </is>
      </c>
      <c r="C21" s="9" t="n">
        <v>5</v>
      </c>
      <c r="D21" s="9" t="n">
        <v>0</v>
      </c>
      <c r="E21" s="9" t="n">
        <v>7</v>
      </c>
      <c r="F21" s="9">
        <f>IFERROR(MIN(C21,D21)*E21/C21,0)</f>
        <v/>
      </c>
      <c r="G21" s="9" t="n"/>
    </row>
    <row r="22" ht="14.15" customHeight="1">
      <c r="A22" s="7" t="n">
        <v>7</v>
      </c>
      <c r="B22" s="8" t="inlineStr">
        <is>
          <t>Noise level meter</t>
        </is>
      </c>
      <c r="C22" s="9" t="n">
        <v>5</v>
      </c>
      <c r="D22" s="9" t="n">
        <v>0</v>
      </c>
      <c r="E22" s="9" t="n">
        <v>7</v>
      </c>
      <c r="F22" s="9">
        <f>IFERROR(MIN(C22,D22)*E22/C22,0)</f>
        <v/>
      </c>
      <c r="G22" s="9" t="n"/>
    </row>
    <row r="23" ht="14.15" customHeight="1">
      <c r="A23" s="7" t="n">
        <v>8</v>
      </c>
      <c r="B23" s="8" t="inlineStr">
        <is>
          <t>Fire Extinguisher (water, foam, CO2, powder)</t>
        </is>
      </c>
      <c r="C23" s="9" t="n">
        <v>5</v>
      </c>
      <c r="D23" s="9" t="n">
        <v>0</v>
      </c>
      <c r="E23" s="9" t="n">
        <v>6</v>
      </c>
      <c r="F23" s="9">
        <f>IFERROR(MIN(C23,D23)*E23/C23,0)</f>
        <v/>
      </c>
      <c r="G23" s="9" t="n"/>
    </row>
    <row r="24" ht="14.15" customHeight="1">
      <c r="A24" s="7" t="n">
        <v>9</v>
      </c>
      <c r="B24" s="8" t="inlineStr">
        <is>
          <t>Smoke or heat detector</t>
        </is>
      </c>
      <c r="C24" s="9" t="n">
        <v>5</v>
      </c>
      <c r="D24" s="9" t="n">
        <v>0</v>
      </c>
      <c r="E24" s="9" t="n">
        <v>6</v>
      </c>
      <c r="F24" s="9">
        <f>IFERROR(MIN(C24,D24)*E24/C24,0)</f>
        <v/>
      </c>
      <c r="G24" s="9" t="n"/>
    </row>
    <row r="25" ht="14.15" customHeight="1">
      <c r="A25" s="7" t="n">
        <v>10</v>
      </c>
      <c r="B25" s="8" t="inlineStr">
        <is>
          <t>Rubbermaid Recycling Bins</t>
        </is>
      </c>
      <c r="C25" s="9" t="n">
        <v>5</v>
      </c>
      <c r="D25" s="9" t="n">
        <v>0</v>
      </c>
      <c r="E25" s="9" t="n">
        <v>4</v>
      </c>
      <c r="F25" s="9">
        <f>IFERROR(MIN(C25,D25)*E25/C25,0)</f>
        <v/>
      </c>
      <c r="G25" s="9" t="n"/>
    </row>
    <row r="26" ht="14.15" customHeight="1">
      <c r="A26" s="7" t="n">
        <v>11</v>
      </c>
      <c r="B26" s="8" t="inlineStr">
        <is>
          <t>Water Testing Kits</t>
        </is>
      </c>
      <c r="C26" s="9" t="n">
        <v>5</v>
      </c>
      <c r="D26" s="9" t="n">
        <v>0</v>
      </c>
      <c r="E26" s="9" t="n">
        <v>7</v>
      </c>
      <c r="F26" s="9">
        <f>IFERROR(MIN(C26,D26)*E26/C26,0)</f>
        <v/>
      </c>
      <c r="G26" s="9" t="n"/>
    </row>
    <row r="27" ht="14.15" customHeight="1">
      <c r="A27" s="7" t="n">
        <v>12</v>
      </c>
      <c r="B27" s="8" t="inlineStr">
        <is>
          <t>Air Quality Testing Kits</t>
        </is>
      </c>
      <c r="C27" s="9" t="n">
        <v>5</v>
      </c>
      <c r="D27" s="9" t="n">
        <v>0</v>
      </c>
      <c r="E27" s="9" t="n">
        <v>7</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3D Fashion Design</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3D Fashion Design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3D Fashion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 (Minimum Core i5, 16GB RAM, 500GB SSD, 21" Monitor, Graphics-supported)</t>
        </is>
      </c>
      <c r="C16" s="9" t="n">
        <v>20</v>
      </c>
      <c r="D16" s="9" t="n">
        <v>0</v>
      </c>
      <c r="E16" s="9" t="n">
        <v>10</v>
      </c>
      <c r="F16" s="9">
        <f>IFERROR(MIN(C16,D16)*E16/C16,0)</f>
        <v/>
      </c>
      <c r="G16" s="9" t="n"/>
    </row>
    <row r="17" ht="14.15" customHeight="1">
      <c r="A17" s="7" t="n">
        <v>2</v>
      </c>
      <c r="B17" s="8" t="inlineStr">
        <is>
          <t>Software: CLO or BROWZWEAR</t>
        </is>
      </c>
      <c r="C17" s="9" t="n">
        <v>20</v>
      </c>
      <c r="D17" s="9" t="n">
        <v>0</v>
      </c>
      <c r="E17" s="9" t="n">
        <v>10</v>
      </c>
      <c r="F17" s="9">
        <f>IFERROR(MIN(C17,D17)*E17/C17,0)</f>
        <v/>
      </c>
      <c r="G17" s="9" t="n"/>
    </row>
    <row r="18" ht="14.15" customHeight="1">
      <c r="A18" s="7" t="n">
        <v>3</v>
      </c>
      <c r="B18" s="8" t="inlineStr">
        <is>
          <t>Portable scanner (legal size)</t>
        </is>
      </c>
      <c r="C18" s="9" t="n">
        <v>1</v>
      </c>
      <c r="D18" s="9" t="n">
        <v>0</v>
      </c>
      <c r="E18" s="9" t="n">
        <v>5</v>
      </c>
      <c r="F18" s="9">
        <f>IFERROR(MIN(C18,D18)*E18/C18,0)</f>
        <v/>
      </c>
      <c r="G18" s="9" t="n"/>
    </row>
    <row r="19" ht="14.15" customHeight="1">
      <c r="A19" s="7" t="n">
        <v>4</v>
      </c>
      <c r="B19" s="8" t="inlineStr">
        <is>
          <t>UPS/Backup Power Supply (1–2 hours backup per workstation)</t>
        </is>
      </c>
      <c r="C19" s="9" t="n">
        <v>20</v>
      </c>
      <c r="D19" s="9" t="n">
        <v>0</v>
      </c>
      <c r="E19" s="9" t="n">
        <v>5</v>
      </c>
      <c r="F19" s="9">
        <f>IFERROR(MIN(C19,D19)*E19/C19,0)</f>
        <v/>
      </c>
      <c r="G19" s="9" t="n"/>
    </row>
    <row r="20" ht="14.15" customHeight="1">
      <c r="A20" s="7" t="n">
        <v>5</v>
      </c>
      <c r="B20" s="8" t="inlineStr">
        <is>
          <t>Projector &amp; Screen (HD quality, HDMI support, 3000+ lumens)</t>
        </is>
      </c>
      <c r="C20" s="9" t="n">
        <v>1</v>
      </c>
      <c r="D20" s="9" t="n">
        <v>0</v>
      </c>
      <c r="E20" s="9" t="n">
        <v>5</v>
      </c>
      <c r="F20" s="9">
        <f>IFERROR(MIN(C20,D20)*E20/C20,0)</f>
        <v/>
      </c>
      <c r="G20" s="9" t="n"/>
    </row>
    <row r="21" ht="14.15" customHeight="1">
      <c r="A21" s="7" t="n">
        <v>6</v>
      </c>
      <c r="B21" s="8" t="inlineStr">
        <is>
          <t>Mannequins/Dress Forms (Female and male standard sizes)</t>
        </is>
      </c>
      <c r="C21" s="9" t="n">
        <v>2</v>
      </c>
      <c r="D21" s="9" t="n">
        <v>0</v>
      </c>
      <c r="E21" s="9" t="n">
        <v>5</v>
      </c>
      <c r="F21" s="9">
        <f>IFERROR(MIN(C21,D21)*E21/C21,0)</f>
        <v/>
      </c>
      <c r="G21" s="9" t="n"/>
    </row>
    <row r="22">
      <c r="A22" s="10" t="inlineStr">
        <is>
          <t>Sum</t>
        </is>
      </c>
      <c r="B22" s="11" t="n"/>
      <c r="C22" s="11" t="n"/>
      <c r="D22" s="12" t="n"/>
      <c r="E22" s="10">
        <f>SUM(E16:E21)</f>
        <v/>
      </c>
      <c r="F22" s="10">
        <f>SUM(F16:F21)</f>
        <v/>
      </c>
      <c r="G22" s="13" t="n"/>
    </row>
    <row r="23">
      <c r="A23" s="10" t="inlineStr">
        <is>
          <t>Score out of 100</t>
        </is>
      </c>
      <c r="B23" s="11" t="n"/>
      <c r="C23" s="11" t="n"/>
      <c r="D23" s="11" t="n"/>
      <c r="E23" s="12" t="n"/>
      <c r="F23" s="10">
        <f>F22/E22*100</f>
        <v/>
      </c>
      <c r="G23" s="13" t="n"/>
    </row>
    <row r="24" ht="9.75" customHeight="1"/>
    <row r="25">
      <c r="A25" s="10" t="inlineStr">
        <is>
          <t xml:space="preserve">Total achieved points out of 30  </t>
        </is>
      </c>
      <c r="B25" s="11" t="n"/>
      <c r="C25" s="11" t="n"/>
      <c r="D25" s="11" t="n"/>
      <c r="E25" s="12" t="n"/>
      <c r="F25" s="10">
        <f>F23*30/100</f>
        <v/>
      </c>
      <c r="G25" s="10" t="inlineStr">
        <is>
          <t>Points</t>
        </is>
      </c>
    </row>
  </sheetData>
  <mergeCells count="8">
    <mergeCell ref="A13:G13"/>
    <mergeCell ref="C7:G7"/>
    <mergeCell ref="A1:G1"/>
    <mergeCell ref="A22:D22"/>
    <mergeCell ref="A25:E25"/>
    <mergeCell ref="A24:G24"/>
    <mergeCell ref="A23:E23"/>
    <mergeCell ref="C8:G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Jacquard Programming</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Jacquard Programming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Jacquard Programming,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6</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Scanner</t>
        </is>
      </c>
      <c r="C19" s="9" t="n">
        <v>1</v>
      </c>
      <c r="D19" s="9" t="n">
        <v>0</v>
      </c>
      <c r="E19" s="9" t="n">
        <v>4</v>
      </c>
      <c r="F19" s="9">
        <f>IFERROR(MIN(C19,D19)*E19/C19,0)</f>
        <v/>
      </c>
      <c r="G19" s="9" t="n"/>
    </row>
    <row r="20" ht="14.15" customHeight="1">
      <c r="A20" s="7" t="n">
        <v>5</v>
      </c>
      <c r="B20" s="8" t="inlineStr">
        <is>
          <t>Printer</t>
        </is>
      </c>
      <c r="C20" s="9" t="n">
        <v>1</v>
      </c>
      <c r="D20" s="9" t="n">
        <v>0</v>
      </c>
      <c r="E20" s="9" t="n">
        <v>4</v>
      </c>
      <c r="F20" s="9">
        <f>IFERROR(MIN(C20,D20)*E20/C20,0)</f>
        <v/>
      </c>
      <c r="G20" s="9" t="n"/>
    </row>
    <row r="21" ht="14.15" customHeight="1">
      <c r="A21" s="7" t="n">
        <v>6</v>
      </c>
      <c r="B21" s="8" t="inlineStr">
        <is>
          <t>White board</t>
        </is>
      </c>
      <c r="C21" s="9" t="n">
        <v>1</v>
      </c>
      <c r="D21" s="9" t="n">
        <v>0</v>
      </c>
      <c r="E21" s="9" t="n">
        <v>3</v>
      </c>
      <c r="F21" s="9">
        <f>IFERROR(MIN(C21,D21)*E21/C21,0)</f>
        <v/>
      </c>
      <c r="G21" s="9" t="n"/>
    </row>
    <row r="22" ht="14.15" customHeight="1">
      <c r="A22" s="7" t="n">
        <v>7</v>
      </c>
      <c r="B22" s="8" t="inlineStr">
        <is>
          <t>Jacquard Knitting Machines</t>
        </is>
      </c>
      <c r="C22" s="9" t="n">
        <v>5</v>
      </c>
      <c r="D22" s="9" t="n">
        <v>0</v>
      </c>
      <c r="E22" s="9" t="n">
        <v>10</v>
      </c>
      <c r="F22" s="9">
        <f>IFERROR(MIN(C22,D22)*E22/C22,0)</f>
        <v/>
      </c>
      <c r="G22" s="9" t="n"/>
    </row>
    <row r="23" ht="14.15" customHeight="1">
      <c r="A23" s="7" t="n">
        <v>8</v>
      </c>
      <c r="B23" s="8" t="inlineStr">
        <is>
          <t>Desktop Computers (with software)</t>
        </is>
      </c>
      <c r="C23" s="9" t="n">
        <v>20</v>
      </c>
      <c r="D23" s="9" t="n">
        <v>0</v>
      </c>
      <c r="E23" s="9" t="n">
        <v>9</v>
      </c>
      <c r="F23" s="9">
        <f>IFERROR(MIN(C23,D23)*E23/C23,0)</f>
        <v/>
      </c>
      <c r="G23" s="9" t="n"/>
    </row>
    <row r="24" ht="14.15" customHeight="1">
      <c r="A24" s="7" t="n">
        <v>9</v>
      </c>
      <c r="B24" s="8" t="inlineStr">
        <is>
          <t>Different Yarn Sample</t>
        </is>
      </c>
      <c r="C24" s="9" t="n">
        <v>20</v>
      </c>
      <c r="D24" s="9" t="n">
        <v>0</v>
      </c>
      <c r="E24" s="9" t="n">
        <v>4</v>
      </c>
      <c r="F24" s="9">
        <f>IFERROR(MIN(C24,D24)*E24/C24,0)</f>
        <v/>
      </c>
      <c r="G24" s="9" t="n"/>
    </row>
    <row r="25" ht="14.15" customHeight="1">
      <c r="A25" s="7" t="n">
        <v>10</v>
      </c>
      <c r="B25" s="8" t="inlineStr">
        <is>
          <t>Sweater Sample</t>
        </is>
      </c>
      <c r="C25" s="9" t="n">
        <v>30</v>
      </c>
      <c r="D25" s="9" t="n">
        <v>0</v>
      </c>
      <c r="E25" s="9" t="n">
        <v>4</v>
      </c>
      <c r="F25" s="9">
        <f>IFERROR(MIN(C25,D25)*E25/C25,0)</f>
        <v/>
      </c>
      <c r="G25" s="9" t="n"/>
    </row>
    <row r="26" ht="14.15" customHeight="1">
      <c r="A26" s="7" t="n">
        <v>11</v>
      </c>
      <c r="B26" s="8" t="inlineStr">
        <is>
          <t>Different type of knitting chart (Printed copy)</t>
        </is>
      </c>
      <c r="C26" s="9" t="n">
        <v>40</v>
      </c>
      <c r="D26" s="9" t="n">
        <v>0</v>
      </c>
      <c r="E26" s="9" t="n">
        <v>3</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Pattern Making with CAD</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Advanced Pattern Making with CAD</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Pattern Making with CAD,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 (Minimum Core i3, 8GB RAM, 500GB SSD, 21" Monitor, Graphics-supported)</t>
        </is>
      </c>
      <c r="C16" s="9" t="n">
        <v>20</v>
      </c>
      <c r="D16" s="9" t="n">
        <v>0</v>
      </c>
      <c r="E16" s="9" t="n">
        <v>10</v>
      </c>
      <c r="F16" s="9">
        <f>IFERROR(MIN(C16,D16)*E16/C16,0)</f>
        <v/>
      </c>
      <c r="G16" s="9" t="n"/>
    </row>
    <row r="17" ht="14.15" customHeight="1">
      <c r="A17" s="7" t="n">
        <v>2</v>
      </c>
      <c r="B17" s="8" t="inlineStr">
        <is>
          <t>CAD Software (Lectra/Gerber/Optitex/Gemini)</t>
        </is>
      </c>
      <c r="C17" s="9" t="n">
        <v>1</v>
      </c>
      <c r="D17" s="9" t="n">
        <v>0</v>
      </c>
      <c r="E17" s="9" t="n">
        <v>10</v>
      </c>
      <c r="F17" s="9">
        <f>IFERROR(MIN(C17,D17)*E17/C17,0)</f>
        <v/>
      </c>
      <c r="G17" s="9" t="n"/>
    </row>
    <row r="18" ht="14.15" customHeight="1">
      <c r="A18" s="7" t="n">
        <v>3</v>
      </c>
      <c r="B18" s="8" t="inlineStr">
        <is>
          <t>UPS/Backup Power Supply (1–2 hours backup per workstation)</t>
        </is>
      </c>
      <c r="C18" s="9" t="n">
        <v>20</v>
      </c>
      <c r="D18" s="9" t="n">
        <v>0</v>
      </c>
      <c r="E18" s="9" t="n">
        <v>5</v>
      </c>
      <c r="F18" s="9">
        <f>IFERROR(MIN(C18,D18)*E18/C18,0)</f>
        <v/>
      </c>
      <c r="G18" s="9" t="n"/>
    </row>
    <row r="19" ht="14.15" customHeight="1">
      <c r="A19" s="7" t="n">
        <v>4</v>
      </c>
      <c r="B19" s="8" t="inlineStr">
        <is>
          <t>Plotter/Printer (A0 size, compatible with CAD software, minimum 40-60 inches width)</t>
        </is>
      </c>
      <c r="C19" s="9" t="n">
        <v>1</v>
      </c>
      <c r="D19" s="9" t="n">
        <v>0</v>
      </c>
      <c r="E19" s="9" t="n">
        <v>8</v>
      </c>
      <c r="F19" s="9">
        <f>IFERROR(MIN(C19,D19)*E19/C19,0)</f>
        <v/>
      </c>
      <c r="G19" s="9" t="n"/>
    </row>
    <row r="20" ht="14.15" customHeight="1">
      <c r="A20" s="7" t="n">
        <v>5</v>
      </c>
      <c r="B20" s="8" t="inlineStr">
        <is>
          <t>Projector &amp; Screen (HD quality, HDMI support, 3000+ lumens)</t>
        </is>
      </c>
      <c r="C20" s="9" t="n">
        <v>1</v>
      </c>
      <c r="D20" s="9" t="n">
        <v>0</v>
      </c>
      <c r="E20" s="9" t="n">
        <v>5</v>
      </c>
      <c r="F20" s="9">
        <f>IFERROR(MIN(C20,D20)*E20/C20,0)</f>
        <v/>
      </c>
      <c r="G20" s="9" t="n"/>
    </row>
    <row r="21" ht="14.15" customHeight="1">
      <c r="A21" s="7" t="n">
        <v>6</v>
      </c>
      <c r="B21" s="8" t="inlineStr">
        <is>
          <t>Mannequins/Dress Forms (Female and male standard sizes)</t>
        </is>
      </c>
      <c r="C21" s="9" t="n">
        <v>2</v>
      </c>
      <c r="D21" s="9" t="n">
        <v>0</v>
      </c>
      <c r="E21" s="9" t="n">
        <v>5</v>
      </c>
      <c r="F21" s="9">
        <f>IFERROR(MIN(C21,D21)*E21/C21,0)</f>
        <v/>
      </c>
      <c r="G21" s="9" t="n"/>
    </row>
    <row r="22" ht="14.15" customHeight="1">
      <c r="A22" s="7" t="n">
        <v>7</v>
      </c>
      <c r="B22" s="8" t="inlineStr">
        <is>
          <t>Working Table (Minimum size 2 ft × 4 ft, laminated surface)</t>
        </is>
      </c>
      <c r="C22" s="9" t="n">
        <v>2</v>
      </c>
      <c r="D22" s="9" t="n">
        <v>0</v>
      </c>
      <c r="E22" s="9" t="n">
        <v>4</v>
      </c>
      <c r="F22" s="9">
        <f>IFERROR(MIN(C22,D22)*E22/C22,0)</f>
        <v/>
      </c>
      <c r="G22" s="9" t="n"/>
    </row>
    <row r="23" ht="14.15" customHeight="1">
      <c r="A23" s="7" t="n">
        <v>8</v>
      </c>
      <c r="B23" s="8" t="inlineStr">
        <is>
          <t>Single needle lock stitch machine</t>
        </is>
      </c>
      <c r="C23" s="9" t="n">
        <v>1</v>
      </c>
      <c r="D23" s="9" t="n">
        <v>0</v>
      </c>
      <c r="E23" s="9" t="n">
        <v>5</v>
      </c>
      <c r="F23" s="9">
        <f>IFERROR(MIN(C23,D23)*E23/C23,0)</f>
        <v/>
      </c>
      <c r="G23" s="9" t="n"/>
    </row>
    <row r="24" ht="14.15" customHeight="1">
      <c r="A24" s="7" t="n">
        <v>9</v>
      </c>
      <c r="B24" s="8" t="inlineStr">
        <is>
          <t>Overlock machine</t>
        </is>
      </c>
      <c r="C24" s="9" t="n">
        <v>1</v>
      </c>
      <c r="D24" s="9" t="n">
        <v>0</v>
      </c>
      <c r="E24" s="9" t="n">
        <v>5</v>
      </c>
      <c r="F24" s="9">
        <f>IFERROR(MIN(C24,D24)*E24/C24,0)</f>
        <v/>
      </c>
      <c r="G24" s="9" t="n"/>
    </row>
    <row r="25" ht="14.15" customHeight="1">
      <c r="A25" s="7" t="n">
        <v>10</v>
      </c>
      <c r="B25" s="8" t="inlineStr">
        <is>
          <t>Flat lock machine</t>
        </is>
      </c>
      <c r="C25" s="9" t="n">
        <v>1</v>
      </c>
      <c r="D25" s="9" t="n">
        <v>0</v>
      </c>
      <c r="E25" s="9" t="n">
        <v>5</v>
      </c>
      <c r="F25" s="9">
        <f>IFERROR(MIN(C25,D25)*E25/C25,0)</f>
        <v/>
      </c>
      <c r="G25" s="9" t="n"/>
    </row>
    <row r="26">
      <c r="A26" s="10" t="inlineStr">
        <is>
          <t>Sum</t>
        </is>
      </c>
      <c r="B26" s="11" t="n"/>
      <c r="C26" s="11" t="n"/>
      <c r="D26" s="12" t="n"/>
      <c r="E26" s="10">
        <f>SUM(E16:E25)</f>
        <v/>
      </c>
      <c r="F26" s="10">
        <f>SUM(F16:F25)</f>
        <v/>
      </c>
      <c r="G26" s="13" t="n"/>
    </row>
    <row r="27">
      <c r="A27" s="10" t="inlineStr">
        <is>
          <t>Score out of 100</t>
        </is>
      </c>
      <c r="B27" s="11" t="n"/>
      <c r="C27" s="11" t="n"/>
      <c r="D27" s="11" t="n"/>
      <c r="E27" s="12" t="n"/>
      <c r="F27" s="10">
        <f>F26/E26*100</f>
        <v/>
      </c>
      <c r="G27" s="13" t="n"/>
    </row>
    <row r="28" ht="9.75" customHeight="1"/>
    <row r="29">
      <c r="A29" s="10" t="inlineStr">
        <is>
          <t xml:space="preserve">Total achieved points out of 30  </t>
        </is>
      </c>
      <c r="B29" s="11" t="n"/>
      <c r="C29" s="11" t="n"/>
      <c r="D29" s="11" t="n"/>
      <c r="E29" s="12" t="n"/>
      <c r="F29" s="10">
        <f>F27*30/100</f>
        <v/>
      </c>
      <c r="G29" s="10" t="inlineStr">
        <is>
          <t>Points</t>
        </is>
      </c>
    </row>
  </sheetData>
  <mergeCells count="8">
    <mergeCell ref="A13:G13"/>
    <mergeCell ref="C7:G7"/>
    <mergeCell ref="A29:E29"/>
    <mergeCell ref="A1:G1"/>
    <mergeCell ref="A26:D26"/>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2026-08-31T10:08:27Z</dcterms:modified>
</cp:coreProperties>
</file>
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kery and Pastry Production" sheetId="1" state="visible" r:id="rId1"/>
    <sheet xmlns:r="http://schemas.openxmlformats.org/officeDocument/2006/relationships" name="Food and Beverage Production" sheetId="2" state="visible" r:id="rId2"/>
    <sheet xmlns:r="http://schemas.openxmlformats.org/officeDocument/2006/relationships" name="Professional Digital Mktg" sheetId="3" state="visible" r:id="rId3"/>
    <sheet xmlns:r="http://schemas.openxmlformats.org/officeDocument/2006/relationships" name="Auto Mechanics" sheetId="4" state="visible" r:id="rId4"/>
    <sheet xmlns:r="http://schemas.openxmlformats.org/officeDocument/2006/relationships" name="Beautification" sheetId="5" state="visible" r:id="rId5"/>
    <sheet xmlns:r="http://schemas.openxmlformats.org/officeDocument/2006/relationships" name="Electrical Install &amp; Maint" sheetId="6" state="visible" r:id="rId6"/>
    <sheet xmlns:r="http://schemas.openxmlformats.org/officeDocument/2006/relationships" name="Fashion Garments" sheetId="7" state="visible" r:id="rId7"/>
    <sheet xmlns:r="http://schemas.openxmlformats.org/officeDocument/2006/relationships" name="Plumbing and Pipe Fitting" sheetId="8" state="visible" r:id="rId8"/>
    <sheet xmlns:r="http://schemas.openxmlformats.org/officeDocument/2006/relationships" name="Refrigeration and AC" sheetId="9" state="visible" r:id="rId9"/>
    <sheet xmlns:r="http://schemas.openxmlformats.org/officeDocument/2006/relationships" name="Graphic Design" sheetId="10" state="visible" r:id="rId10"/>
    <sheet xmlns:r="http://schemas.openxmlformats.org/officeDocument/2006/relationships" name="IT Freelancing" sheetId="11" state="visible" r:id="rId11"/>
    <sheet xmlns:r="http://schemas.openxmlformats.org/officeDocument/2006/relationships" name="Mobile Phone Servicing" sheetId="12" state="visible" r:id="rId1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Bakery and Pastry Production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Bakery and Pastry Production</t>
        </is>
      </c>
      <c r="C8" s="4" t="inlineStr">
        <is>
          <t xml:space="preserve">Classroom – minimum 350 sft (33 sqm)
Workshop/ lab – 800 sft (75 sqm)
                     </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Bakery and Pastry Production,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Cooking station (02 burner)</t>
        </is>
      </c>
      <c r="C18" s="9" t="n">
        <v>1</v>
      </c>
      <c r="D18" s="9" t="n">
        <v>0</v>
      </c>
      <c r="E18" s="9" t="n">
        <v>9</v>
      </c>
      <c r="F18" s="9">
        <f>IFERROR(MIN(C18,D18)*E18/C18,0)</f>
        <v/>
      </c>
      <c r="G18" s="9" t="n"/>
    </row>
    <row r="19" ht="14.15" customHeight="1">
      <c r="A19" s="7" t="n">
        <v>4</v>
      </c>
      <c r="B19" s="8" t="inlineStr">
        <is>
          <t>Electric oven (3 deck)</t>
        </is>
      </c>
      <c r="C19" s="9" t="n">
        <v>1</v>
      </c>
      <c r="D19" s="9" t="n">
        <v>0</v>
      </c>
      <c r="E19" s="9" t="n">
        <v>9</v>
      </c>
      <c r="F19" s="9">
        <f>IFERROR(MIN(C19,D19)*E19/C19,0)</f>
        <v/>
      </c>
      <c r="G19" s="9" t="n"/>
    </row>
    <row r="20" ht="14.15" customHeight="1">
      <c r="A20" s="7" t="n">
        <v>5</v>
      </c>
      <c r="B20" s="8" t="inlineStr">
        <is>
          <t>Gas oven (3 deck)</t>
        </is>
      </c>
      <c r="C20" s="9" t="n">
        <v>1</v>
      </c>
      <c r="D20" s="9" t="n">
        <v>0</v>
      </c>
      <c r="E20" s="9" t="n">
        <v>9</v>
      </c>
      <c r="F20" s="9">
        <f>IFERROR(MIN(C20,D20)*E20/C20,0)</f>
        <v/>
      </c>
      <c r="G20" s="9" t="n"/>
    </row>
    <row r="21" ht="14.15" customHeight="1">
      <c r="A21" s="7" t="n">
        <v>6</v>
      </c>
      <c r="B21" s="8" t="inlineStr">
        <is>
          <t>Cooling rack</t>
        </is>
      </c>
      <c r="C21" s="9" t="n">
        <v>1</v>
      </c>
      <c r="D21" s="9" t="n">
        <v>0</v>
      </c>
      <c r="E21" s="9" t="n">
        <v>6</v>
      </c>
      <c r="F21" s="9">
        <f>IFERROR(MIN(C21,D21)*E21/C21,0)</f>
        <v/>
      </c>
      <c r="G21" s="9" t="n"/>
    </row>
    <row r="22" ht="14.15" customHeight="1">
      <c r="A22" s="7" t="n">
        <v>7</v>
      </c>
      <c r="B22" s="8" t="inlineStr">
        <is>
          <t>Utensil rack</t>
        </is>
      </c>
      <c r="C22" s="9" t="n">
        <v>1</v>
      </c>
      <c r="D22" s="9" t="n">
        <v>0</v>
      </c>
      <c r="E22" s="9" t="n">
        <v>5</v>
      </c>
      <c r="F22" s="9">
        <f>IFERROR(MIN(C22,D22)*E22/C22,0)</f>
        <v/>
      </c>
      <c r="G22" s="9" t="n"/>
    </row>
    <row r="23" ht="14.15" customHeight="1">
      <c r="A23" s="7" t="n">
        <v>8</v>
      </c>
      <c r="B23" s="8" t="inlineStr">
        <is>
          <t>Food processors</t>
        </is>
      </c>
      <c r="C23" s="9" t="n">
        <v>1</v>
      </c>
      <c r="D23" s="9" t="n">
        <v>0</v>
      </c>
      <c r="E23" s="9" t="n">
        <v>7</v>
      </c>
      <c r="F23" s="9">
        <f>IFERROR(MIN(C23,D23)*E23/C23,0)</f>
        <v/>
      </c>
      <c r="G23" s="9" t="n"/>
    </row>
    <row r="24" ht="14.15" customHeight="1">
      <c r="A24" s="7" t="n">
        <v>9</v>
      </c>
      <c r="B24" s="8" t="inlineStr">
        <is>
          <t>Blender Machine</t>
        </is>
      </c>
      <c r="C24" s="9" t="n">
        <v>2</v>
      </c>
      <c r="D24" s="9" t="n">
        <v>0</v>
      </c>
      <c r="E24" s="9" t="n">
        <v>6</v>
      </c>
      <c r="F24" s="9">
        <f>IFERROR(MIN(C24,D24)*E24/C24,0)</f>
        <v/>
      </c>
      <c r="G24" s="9" t="n"/>
    </row>
    <row r="25" ht="14.15" customHeight="1">
      <c r="A25" s="7" t="n">
        <v>10</v>
      </c>
      <c r="B25" s="8" t="inlineStr">
        <is>
          <t>Electric egg beater</t>
        </is>
      </c>
      <c r="C25" s="9" t="n">
        <v>6</v>
      </c>
      <c r="D25" s="9" t="n">
        <v>0</v>
      </c>
      <c r="E25" s="9" t="n">
        <v>6</v>
      </c>
      <c r="F25" s="9">
        <f>IFERROR(MIN(C25,D25)*E25/C25,0)</f>
        <v/>
      </c>
      <c r="G25" s="9" t="n"/>
    </row>
    <row r="26" ht="14.15" customHeight="1">
      <c r="A26" s="7" t="n">
        <v>11</v>
      </c>
      <c r="B26" s="8" t="inlineStr">
        <is>
          <t>Rolling pin</t>
        </is>
      </c>
      <c r="C26" s="9" t="n">
        <v>6</v>
      </c>
      <c r="D26" s="9" t="n">
        <v>0</v>
      </c>
      <c r="E26" s="9" t="n">
        <v>4</v>
      </c>
      <c r="F26" s="9">
        <f>IFERROR(MIN(C26,D26)*E26/C26,0)</f>
        <v/>
      </c>
      <c r="G26" s="9" t="n"/>
    </row>
    <row r="27" ht="14.15" customHeight="1">
      <c r="A27" s="7" t="n">
        <v>12</v>
      </c>
      <c r="B27" s="8" t="inlineStr">
        <is>
          <t>Dough mixing machine</t>
        </is>
      </c>
      <c r="C27" s="9" t="n">
        <v>1</v>
      </c>
      <c r="D27" s="9" t="n">
        <v>0</v>
      </c>
      <c r="E27" s="9" t="n">
        <v>8</v>
      </c>
      <c r="F27" s="9">
        <f>IFERROR(MIN(C27,D27)*E27/C27,0)</f>
        <v/>
      </c>
      <c r="G27" s="9" t="n"/>
    </row>
    <row r="28" ht="14.15" customHeight="1">
      <c r="A28" s="7" t="n">
        <v>13</v>
      </c>
      <c r="B28" s="8" t="inlineStr">
        <is>
          <t>Chocolate melting machine</t>
        </is>
      </c>
      <c r="C28" s="9" t="n">
        <v>1</v>
      </c>
      <c r="D28" s="9" t="n">
        <v>0</v>
      </c>
      <c r="E28" s="9" t="n">
        <v>8</v>
      </c>
      <c r="F28" s="9">
        <f>IFERROR(MIN(C28,D28)*E28/C28,0)</f>
        <v/>
      </c>
      <c r="G28" s="9" t="n"/>
    </row>
    <row r="29" ht="14.15" customHeight="1">
      <c r="A29" s="7" t="n">
        <v>14</v>
      </c>
      <c r="B29" s="8" t="inlineStr">
        <is>
          <t>Refrigerator (200-300 L)</t>
        </is>
      </c>
      <c r="C29" s="9" t="n">
        <v>1</v>
      </c>
      <c r="D29" s="9" t="n">
        <v>0</v>
      </c>
      <c r="E29" s="9" t="n">
        <v>7</v>
      </c>
      <c r="F29" s="9">
        <f>IFERROR(MIN(C29,D29)*E29/C29,0)</f>
        <v/>
      </c>
      <c r="G29" s="9" t="n"/>
    </row>
    <row r="30" ht="14.15" customHeight="1">
      <c r="A30" s="7" t="n">
        <v>15</v>
      </c>
      <c r="B30" s="8" t="inlineStr">
        <is>
          <t>Freezers (200-300 L)</t>
        </is>
      </c>
      <c r="C30" s="9" t="n">
        <v>1</v>
      </c>
      <c r="D30" s="9" t="n">
        <v>0</v>
      </c>
      <c r="E30" s="9" t="n">
        <v>7</v>
      </c>
      <c r="F30" s="9">
        <f>IFERROR(MIN(C30,D30)*E30/C30,0)</f>
        <v/>
      </c>
      <c r="G30" s="9" t="n"/>
    </row>
    <row r="31" ht="14.15" customHeight="1">
      <c r="A31" s="7" t="n">
        <v>16</v>
      </c>
      <c r="B31" s="8" t="inlineStr">
        <is>
          <t>Microwave oven</t>
        </is>
      </c>
      <c r="C31" s="9" t="n">
        <v>1</v>
      </c>
      <c r="D31" s="9" t="n">
        <v>0</v>
      </c>
      <c r="E31" s="9" t="n">
        <v>6</v>
      </c>
      <c r="F31" s="9">
        <f>IFERROR(MIN(C31,D31)*E31/C31,0)</f>
        <v/>
      </c>
      <c r="G31" s="9" t="n"/>
    </row>
    <row r="32" ht="14.15" customHeight="1">
      <c r="A32" s="7" t="n">
        <v>17</v>
      </c>
      <c r="B32" s="8" t="inlineStr">
        <is>
          <t>Working table-SS made (preferred size – 6ft x 3ft)</t>
        </is>
      </c>
      <c r="C32" s="9" t="n">
        <v>5</v>
      </c>
      <c r="D32" s="9" t="n">
        <v>0</v>
      </c>
      <c r="E32" s="9" t="n">
        <v>5</v>
      </c>
      <c r="F32" s="9">
        <f>IFERROR(MIN(C32,D32)*E32/C32,0)</f>
        <v/>
      </c>
      <c r="G32" s="9" t="n"/>
    </row>
    <row r="33" ht="14.15" customHeight="1">
      <c r="A33" s="7" t="n">
        <v>18</v>
      </c>
      <c r="B33" s="8" t="inlineStr">
        <is>
          <t>Table with sink</t>
        </is>
      </c>
      <c r="C33" s="9" t="n">
        <v>2</v>
      </c>
      <c r="D33" s="9" t="n">
        <v>0</v>
      </c>
      <c r="E33" s="9" t="n">
        <v>5</v>
      </c>
      <c r="F33" s="9">
        <f>IFERROR(MIN(C33,D33)*E33/C33,0)</f>
        <v/>
      </c>
      <c r="G33" s="9" t="n"/>
    </row>
    <row r="34" ht="14.15" customHeight="1">
      <c r="A34" s="7" t="n">
        <v>19</v>
      </c>
      <c r="B34" s="8" t="inlineStr">
        <is>
          <t>Hand wash sink</t>
        </is>
      </c>
      <c r="C34" s="9" t="n">
        <v>1</v>
      </c>
      <c r="D34" s="9" t="n">
        <v>0</v>
      </c>
      <c r="E34" s="9" t="n">
        <v>5</v>
      </c>
      <c r="F34" s="9">
        <f>IFERROR(MIN(C34,D34)*E34/C34,0)</f>
        <v/>
      </c>
      <c r="G34" s="9" t="n"/>
    </row>
    <row r="35" ht="14.15" customHeight="1">
      <c r="A35" s="7" t="n">
        <v>20</v>
      </c>
      <c r="B35" s="8" t="inlineStr">
        <is>
          <t>Frying pan (18 cm)</t>
        </is>
      </c>
      <c r="C35" s="9" t="n">
        <v>6</v>
      </c>
      <c r="D35" s="9" t="n">
        <v>0</v>
      </c>
      <c r="E35" s="9" t="n">
        <v>4</v>
      </c>
      <c r="F35" s="9">
        <f>IFERROR(MIN(C35,D35)*E35/C35,0)</f>
        <v/>
      </c>
      <c r="G35" s="9" t="n"/>
    </row>
    <row r="36" ht="14.15" customHeight="1">
      <c r="A36" s="7" t="n">
        <v>21</v>
      </c>
      <c r="B36" s="8" t="inlineStr">
        <is>
          <t>Sauce pan (Heavy duty and medium size)</t>
        </is>
      </c>
      <c r="C36" s="9" t="n">
        <v>6</v>
      </c>
      <c r="D36" s="9" t="n">
        <v>0</v>
      </c>
      <c r="E36" s="9" t="n">
        <v>4</v>
      </c>
      <c r="F36" s="9">
        <f>IFERROR(MIN(C36,D36)*E36/C36,0)</f>
        <v/>
      </c>
      <c r="G36" s="9" t="n"/>
    </row>
    <row r="37" ht="14.15" customHeight="1">
      <c r="A37" s="7" t="n">
        <v>22</v>
      </c>
      <c r="B37" s="8" t="inlineStr">
        <is>
          <t>Weighing Scale (Preferred capacity 5 kg)</t>
        </is>
      </c>
      <c r="C37" s="9" t="n">
        <v>2</v>
      </c>
      <c r="D37" s="9" t="n">
        <v>0</v>
      </c>
      <c r="E37" s="9" t="n">
        <v>4</v>
      </c>
      <c r="F37" s="9">
        <f>IFERROR(MIN(C37,D37)*E37/C37,0)</f>
        <v/>
      </c>
      <c r="G37" s="9" t="n"/>
    </row>
    <row r="38" ht="14.15" customHeight="1">
      <c r="A38" s="7" t="n">
        <v>23</v>
      </c>
      <c r="B38" s="8" t="inlineStr">
        <is>
          <t>Waste bin</t>
        </is>
      </c>
      <c r="C38" s="9" t="n">
        <v>4</v>
      </c>
      <c r="D38" s="9" t="n">
        <v>0</v>
      </c>
      <c r="E38" s="9" t="n">
        <v>3</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Production</t>
        </is>
      </c>
      <c r="C8" s="4" t="inlineStr">
        <is>
          <t xml:space="preserve">Classroom – minimum 350 sft (33 sqm)
Workshop/ lab – 800 sft (75 sqm)
                     </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Cooking station (02 burner each station)</t>
        </is>
      </c>
      <c r="C18" s="9" t="n">
        <v>6</v>
      </c>
      <c r="D18" s="9" t="n">
        <v>0</v>
      </c>
      <c r="E18" s="9" t="n">
        <v>9</v>
      </c>
      <c r="F18" s="9">
        <f>IFERROR(MIN(C18,D18)*E18/C18,0)</f>
        <v/>
      </c>
      <c r="G18" s="9" t="n"/>
    </row>
    <row r="19" ht="14.15" customHeight="1">
      <c r="A19" s="7" t="n">
        <v>4</v>
      </c>
      <c r="B19" s="8" t="inlineStr">
        <is>
          <t>Electric and induction stoves</t>
        </is>
      </c>
      <c r="C19" s="9" t="n">
        <v>5</v>
      </c>
      <c r="D19" s="9" t="n">
        <v>0</v>
      </c>
      <c r="E19" s="9" t="n">
        <v>8</v>
      </c>
      <c r="F19" s="9">
        <f>IFERROR(MIN(C19,D19)*E19/C19,0)</f>
        <v/>
      </c>
      <c r="G19" s="9" t="n"/>
    </row>
    <row r="20" ht="14.15" customHeight="1">
      <c r="A20" s="7" t="n">
        <v>5</v>
      </c>
      <c r="B20" s="8" t="inlineStr">
        <is>
          <t>Food processors</t>
        </is>
      </c>
      <c r="C20" s="9" t="n">
        <v>2</v>
      </c>
      <c r="D20" s="9" t="n">
        <v>0</v>
      </c>
      <c r="E20" s="9" t="n">
        <v>7</v>
      </c>
      <c r="F20" s="9">
        <f>IFERROR(MIN(C20,D20)*E20/C20,0)</f>
        <v/>
      </c>
      <c r="G20" s="9" t="n"/>
    </row>
    <row r="21" ht="14.15" customHeight="1">
      <c r="A21" s="7" t="n">
        <v>6</v>
      </c>
      <c r="B21" s="8" t="inlineStr">
        <is>
          <t>Blender Machine</t>
        </is>
      </c>
      <c r="C21" s="9" t="n">
        <v>3</v>
      </c>
      <c r="D21" s="9" t="n">
        <v>0</v>
      </c>
      <c r="E21" s="9" t="n">
        <v>6</v>
      </c>
      <c r="F21" s="9">
        <f>IFERROR(MIN(C21,D21)*E21/C21,0)</f>
        <v/>
      </c>
      <c r="G21" s="9" t="n"/>
    </row>
    <row r="22" ht="14.15" customHeight="1">
      <c r="A22" s="7" t="n">
        <v>7</v>
      </c>
      <c r="B22" s="8" t="inlineStr">
        <is>
          <t>Refrigerator (200-300 L)</t>
        </is>
      </c>
      <c r="C22" s="9" t="n">
        <v>2</v>
      </c>
      <c r="D22" s="9" t="n">
        <v>0</v>
      </c>
      <c r="E22" s="9" t="n">
        <v>7</v>
      </c>
      <c r="F22" s="9">
        <f>IFERROR(MIN(C22,D22)*E22/C22,0)</f>
        <v/>
      </c>
      <c r="G22" s="9" t="n"/>
    </row>
    <row r="23" ht="14.15" customHeight="1">
      <c r="A23" s="7" t="n">
        <v>8</v>
      </c>
      <c r="B23" s="8" t="inlineStr">
        <is>
          <t>Freezers (200-300 L)</t>
        </is>
      </c>
      <c r="C23" s="9" t="n">
        <v>1</v>
      </c>
      <c r="D23" s="9" t="n">
        <v>0</v>
      </c>
      <c r="E23" s="9" t="n">
        <v>7</v>
      </c>
      <c r="F23" s="9">
        <f>IFERROR(MIN(C23,D23)*E23/C23,0)</f>
        <v/>
      </c>
      <c r="G23" s="9" t="n"/>
    </row>
    <row r="24" ht="14.15" customHeight="1">
      <c r="A24" s="7" t="n">
        <v>9</v>
      </c>
      <c r="B24" s="8" t="inlineStr">
        <is>
          <t>Microwave oven</t>
        </is>
      </c>
      <c r="C24" s="9" t="n">
        <v>2</v>
      </c>
      <c r="D24" s="9" t="n">
        <v>0</v>
      </c>
      <c r="E24" s="9" t="n">
        <v>6</v>
      </c>
      <c r="F24" s="9">
        <f>IFERROR(MIN(C24,D24)*E24/C24,0)</f>
        <v/>
      </c>
      <c r="G24" s="9" t="n"/>
    </row>
    <row r="25" ht="14.15" customHeight="1">
      <c r="A25" s="7" t="n">
        <v>10</v>
      </c>
      <c r="B25" s="8" t="inlineStr">
        <is>
          <t>Griller</t>
        </is>
      </c>
      <c r="C25" s="9" t="n">
        <v>1</v>
      </c>
      <c r="D25" s="9" t="n">
        <v>0</v>
      </c>
      <c r="E25" s="9" t="n">
        <v>8</v>
      </c>
      <c r="F25" s="9">
        <f>IFERROR(MIN(C25,D25)*E25/C25,0)</f>
        <v/>
      </c>
      <c r="G25" s="9" t="n"/>
    </row>
    <row r="26" ht="14.15" customHeight="1">
      <c r="A26" s="7" t="n">
        <v>11</v>
      </c>
      <c r="B26" s="8" t="inlineStr">
        <is>
          <t>Meat mincer</t>
        </is>
      </c>
      <c r="C26" s="9" t="n">
        <v>1</v>
      </c>
      <c r="D26" s="9" t="n">
        <v>0</v>
      </c>
      <c r="E26" s="9" t="n">
        <v>7</v>
      </c>
      <c r="F26" s="9">
        <f>IFERROR(MIN(C26,D26)*E26/C26,0)</f>
        <v/>
      </c>
      <c r="G26" s="9" t="n"/>
    </row>
    <row r="27" ht="14.15" customHeight="1">
      <c r="A27" s="7" t="n">
        <v>12</v>
      </c>
      <c r="B27" s="8" t="inlineStr">
        <is>
          <t>Convection Oven/Deck oven</t>
        </is>
      </c>
      <c r="C27" s="9" t="n">
        <v>1</v>
      </c>
      <c r="D27" s="9" t="n">
        <v>0</v>
      </c>
      <c r="E27" s="9" t="n">
        <v>8</v>
      </c>
      <c r="F27" s="9">
        <f>IFERROR(MIN(C27,D27)*E27/C27,0)</f>
        <v/>
      </c>
      <c r="G27" s="9" t="n"/>
    </row>
    <row r="28" ht="14.15" customHeight="1">
      <c r="A28" s="7" t="n">
        <v>13</v>
      </c>
      <c r="B28" s="8" t="inlineStr">
        <is>
          <t>Working table (preferred size – 6ft x 3ft)</t>
        </is>
      </c>
      <c r="C28" s="9" t="n">
        <v>5</v>
      </c>
      <c r="D28" s="9" t="n">
        <v>0</v>
      </c>
      <c r="E28" s="9" t="n">
        <v>5</v>
      </c>
      <c r="F28" s="9">
        <f>IFERROR(MIN(C28,D28)*E28/C28,0)</f>
        <v/>
      </c>
      <c r="G28" s="9" t="n"/>
    </row>
    <row r="29" ht="14.15" customHeight="1">
      <c r="A29" s="7" t="n">
        <v>14</v>
      </c>
      <c r="B29" s="8" t="inlineStr">
        <is>
          <t>Table with Sink</t>
        </is>
      </c>
      <c r="C29" s="9" t="n">
        <v>2</v>
      </c>
      <c r="D29" s="9" t="n">
        <v>0</v>
      </c>
      <c r="E29" s="9" t="n">
        <v>5</v>
      </c>
      <c r="F29" s="9">
        <f>IFERROR(MIN(C29,D29)*E29/C29,0)</f>
        <v/>
      </c>
      <c r="G29" s="9" t="n"/>
    </row>
    <row r="30" ht="14.15" customHeight="1">
      <c r="A30" s="7" t="n">
        <v>15</v>
      </c>
      <c r="B30" s="8" t="inlineStr">
        <is>
          <t>Hand wash Sink</t>
        </is>
      </c>
      <c r="C30" s="9" t="n">
        <v>1</v>
      </c>
      <c r="D30" s="9" t="n">
        <v>0</v>
      </c>
      <c r="E30" s="9" t="n">
        <v>5</v>
      </c>
      <c r="F30" s="9">
        <f>IFERROR(MIN(C30,D30)*E30/C30,0)</f>
        <v/>
      </c>
      <c r="G30" s="9" t="n"/>
    </row>
    <row r="31" ht="14.15" customHeight="1">
      <c r="A31" s="7" t="n">
        <v>16</v>
      </c>
      <c r="B31" s="8" t="inlineStr">
        <is>
          <t>Frying pan (24cm)</t>
        </is>
      </c>
      <c r="C31" s="9" t="n">
        <v>12</v>
      </c>
      <c r="D31" s="9" t="n">
        <v>0</v>
      </c>
      <c r="E31" s="9" t="n">
        <v>4</v>
      </c>
      <c r="F31" s="9">
        <f>IFERROR(MIN(C31,D31)*E31/C31,0)</f>
        <v/>
      </c>
      <c r="G31" s="9" t="n"/>
    </row>
    <row r="32" ht="14.15" customHeight="1">
      <c r="A32" s="7" t="n">
        <v>17</v>
      </c>
      <c r="B32" s="8" t="inlineStr">
        <is>
          <t>Cooking pan (medium size)</t>
        </is>
      </c>
      <c r="C32" s="9" t="n">
        <v>12</v>
      </c>
      <c r="D32" s="9" t="n">
        <v>0</v>
      </c>
      <c r="E32" s="9" t="n">
        <v>4</v>
      </c>
      <c r="F32" s="9">
        <f>IFERROR(MIN(C32,D32)*E32/C32,0)</f>
        <v/>
      </c>
      <c r="G32" s="9" t="n"/>
    </row>
    <row r="33" ht="14.15" customHeight="1">
      <c r="A33" s="7" t="n">
        <v>18</v>
      </c>
      <c r="B33" s="8" t="inlineStr">
        <is>
          <t>Weighing Scale (Preferred capacity mm)</t>
        </is>
      </c>
      <c r="C33" s="9" t="n">
        <v>1</v>
      </c>
      <c r="D33" s="9" t="n">
        <v>0</v>
      </c>
      <c r="E33" s="9" t="n">
        <v>3</v>
      </c>
      <c r="F33" s="9">
        <f>IFERROR(MIN(C33,D33)*E33/C33,0)</f>
        <v/>
      </c>
      <c r="G33" s="9" t="n"/>
    </row>
    <row r="34" ht="14.15" customHeight="1">
      <c r="A34" s="7" t="n">
        <v>19</v>
      </c>
      <c r="B34" s="8" t="inlineStr">
        <is>
          <t>Weighing Scale (Preferred capacity 5 kg)</t>
        </is>
      </c>
      <c r="C34" s="9" t="n">
        <v>5</v>
      </c>
      <c r="D34" s="9" t="n">
        <v>0</v>
      </c>
      <c r="E34" s="9" t="n">
        <v>4</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Professional Digital Marketing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Professional Digital Marketing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Professional Digital Marketing,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7</v>
      </c>
      <c r="F16" s="9">
        <f>IFERROR(MIN(C16,D16)*E16/C16,0)</f>
        <v/>
      </c>
      <c r="G16" s="9" t="n"/>
    </row>
    <row r="17" ht="14.15" customHeight="1">
      <c r="A17" s="7" t="n">
        <v>2</v>
      </c>
      <c r="B17" s="8" t="inlineStr">
        <is>
          <t>Printer</t>
        </is>
      </c>
      <c r="C17" s="9" t="n">
        <v>1</v>
      </c>
      <c r="D17" s="9" t="n">
        <v>0</v>
      </c>
      <c r="E17" s="9" t="n">
        <v>4</v>
      </c>
      <c r="F17" s="9">
        <f>IFERROR(MIN(C17,D17)*E17/C17,0)</f>
        <v/>
      </c>
      <c r="G17" s="9" t="n"/>
    </row>
    <row r="18" ht="14.15" customHeight="1">
      <c r="A18" s="7" t="n">
        <v>3</v>
      </c>
      <c r="B18" s="8" t="inlineStr">
        <is>
          <t>Scanner</t>
        </is>
      </c>
      <c r="C18" s="9" t="n">
        <v>1</v>
      </c>
      <c r="D18" s="9" t="n">
        <v>0</v>
      </c>
      <c r="E18" s="9" t="n">
        <v>4</v>
      </c>
      <c r="F18" s="9">
        <f>IFERROR(MIN(C18,D18)*E18/C18,0)</f>
        <v/>
      </c>
      <c r="G18" s="9" t="n"/>
    </row>
    <row r="19" ht="14.15" customHeight="1">
      <c r="A19" s="7" t="n">
        <v>4</v>
      </c>
      <c r="B19" s="8" t="inlineStr">
        <is>
          <t>Computers/Laptop: 
(Minimum Intel Core i5 processor (8th Gen), 8GB RAM (16GB preferred), 500GB SSD storage (1TB preferred), High-resolution monitors (19/20-inch minimum, with color accuracy).</t>
        </is>
      </c>
      <c r="C19" s="9" t="n">
        <v>25</v>
      </c>
      <c r="D19" s="9" t="n">
        <v>0</v>
      </c>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v>0</v>
      </c>
      <c r="E20" s="9" t="n">
        <v>8</v>
      </c>
      <c r="F20" s="9">
        <f>IFERROR(MIN(C20,D20)*E20/C20,0)</f>
        <v/>
      </c>
      <c r="G20" s="9" t="n"/>
    </row>
    <row r="21" ht="14.15" customHeight="1">
      <c r="A21" s="7" t="n">
        <v>6</v>
      </c>
      <c r="B21" s="8" t="inlineStr">
        <is>
          <t>Tools: 
Office application, photo editing software and video editing software</t>
        </is>
      </c>
      <c r="C21" s="9" t="n">
        <v>6</v>
      </c>
      <c r="D21" s="9" t="n">
        <v>0</v>
      </c>
      <c r="E21" s="9" t="n">
        <v>8</v>
      </c>
      <c r="F21" s="9">
        <f>IFERROR(MIN(C21,D21)*E21/C21,0)</f>
        <v/>
      </c>
      <c r="G21" s="9" t="n"/>
    </row>
    <row r="22" ht="14.15" customHeight="1">
      <c r="A22" s="7" t="n">
        <v>7</v>
      </c>
      <c r="B22" s="8" t="inlineStr">
        <is>
          <t>Ergonomic chairs and desks</t>
        </is>
      </c>
      <c r="C22" s="9" t="n">
        <v>25</v>
      </c>
      <c r="D22" s="9" t="n">
        <v>0</v>
      </c>
      <c r="E22" s="9" t="n">
        <v>3</v>
      </c>
      <c r="F22" s="9">
        <f>IFERROR(MIN(C22,D22)*E22/C22,0)</f>
        <v/>
      </c>
      <c r="G22" s="9" t="n"/>
    </row>
    <row r="23" ht="14.15" customHeight="1">
      <c r="A23" s="7" t="n">
        <v>8</v>
      </c>
      <c r="B23" s="8" t="inlineStr">
        <is>
          <t>Internet connectivity with power back-up</t>
        </is>
      </c>
      <c r="C23" s="9" t="n">
        <v>1</v>
      </c>
      <c r="D23" s="9" t="n">
        <v>0</v>
      </c>
      <c r="E23" s="9" t="n">
        <v>8</v>
      </c>
      <c r="F23" s="9">
        <f>IFERROR(MIN(C23,D23)*E23/C23,0)</f>
        <v/>
      </c>
      <c r="G23" s="9" t="n"/>
    </row>
    <row r="24">
      <c r="A24" s="10" t="inlineStr">
        <is>
          <t>Sum</t>
        </is>
      </c>
      <c r="B24" s="11" t="n"/>
      <c r="C24" s="11" t="n"/>
      <c r="D24" s="12" t="n"/>
      <c r="E24" s="10">
        <f>SUM(E16:E23)</f>
        <v/>
      </c>
      <c r="F24" s="10">
        <f>SUM(F16:F23)</f>
        <v/>
      </c>
      <c r="G24" s="13" t="n"/>
    </row>
    <row r="25">
      <c r="A25" s="10" t="inlineStr">
        <is>
          <t>Score out of 100</t>
        </is>
      </c>
      <c r="B25" s="11" t="n"/>
      <c r="C25" s="11" t="n"/>
      <c r="D25" s="11" t="n"/>
      <c r="E25" s="12" t="n"/>
      <c r="F25" s="10">
        <f>F24/E24*100</f>
        <v/>
      </c>
      <c r="G25" s="13" t="n"/>
    </row>
    <row r="26" ht="9.75" customHeight="1"/>
    <row r="27">
      <c r="A27" s="10" t="inlineStr">
        <is>
          <t xml:space="preserve">Total achieved points out of 30  </t>
        </is>
      </c>
      <c r="B27" s="11" t="n"/>
      <c r="C27" s="11" t="n"/>
      <c r="D27" s="11" t="n"/>
      <c r="E27" s="12" t="n"/>
      <c r="F27" s="10">
        <f>F25*30/100</f>
        <v/>
      </c>
      <c r="G27" s="10" t="inlineStr">
        <is>
          <t>Points</t>
        </is>
      </c>
    </row>
  </sheetData>
  <mergeCells count="8">
    <mergeCell ref="A13:G13"/>
    <mergeCell ref="C7:G7"/>
    <mergeCell ref="A1:G1"/>
    <mergeCell ref="A25:E25"/>
    <mergeCell ref="A26:G26"/>
    <mergeCell ref="A24:D24"/>
    <mergeCell ref="C8:G8"/>
    <mergeCell ref="A27:E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Auto Mechanics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Auto Mechanics</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Auto Mechanics,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t>
        </is>
      </c>
      <c r="C16" s="9" t="n">
        <v>2</v>
      </c>
      <c r="D16" s="9" t="n">
        <v>0</v>
      </c>
      <c r="E16" s="9" t="n">
        <v>5</v>
      </c>
      <c r="F16" s="9">
        <f>IFERROR(MIN(C16,D16)*E16/C16,0)</f>
        <v/>
      </c>
      <c r="G16" s="9" t="n"/>
    </row>
    <row r="17" ht="14.15" customHeight="1">
      <c r="A17" s="7" t="n">
        <v>2</v>
      </c>
      <c r="B17" s="8" t="inlineStr">
        <is>
          <t>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Carburettor engine</t>
        </is>
      </c>
      <c r="C19" s="9" t="n">
        <v>2</v>
      </c>
      <c r="D19" s="9" t="n">
        <v>0</v>
      </c>
      <c r="E19" s="9" t="n">
        <v>9</v>
      </c>
      <c r="F19" s="9">
        <f>IFERROR(MIN(C19,D19)*E19/C19,0)</f>
        <v/>
      </c>
      <c r="G19" s="9" t="n"/>
    </row>
    <row r="20" ht="14.15" customHeight="1">
      <c r="A20" s="7" t="n">
        <v>5</v>
      </c>
      <c r="B20" s="8" t="inlineStr">
        <is>
          <t>EFI engine</t>
        </is>
      </c>
      <c r="C20" s="9" t="n">
        <v>4</v>
      </c>
      <c r="D20" s="9" t="n">
        <v>0</v>
      </c>
      <c r="E20" s="9" t="n">
        <v>9</v>
      </c>
      <c r="F20" s="9">
        <f>IFERROR(MIN(C20,D20)*E20/C20,0)</f>
        <v/>
      </c>
      <c r="G20" s="9" t="n"/>
    </row>
    <row r="21" ht="14.15" customHeight="1">
      <c r="A21" s="7" t="n">
        <v>6</v>
      </c>
      <c r="B21" s="8" t="inlineStr">
        <is>
          <t>VVTi engine</t>
        </is>
      </c>
      <c r="C21" s="9" t="n">
        <v>2</v>
      </c>
      <c r="D21" s="9" t="n">
        <v>0</v>
      </c>
      <c r="E21" s="9" t="n">
        <v>9</v>
      </c>
      <c r="F21" s="9">
        <f>IFERROR(MIN(C21,D21)*E21/C21,0)</f>
        <v/>
      </c>
      <c r="G21" s="9" t="n"/>
    </row>
    <row r="22" ht="14.15" customHeight="1">
      <c r="A22" s="7" t="n">
        <v>7</v>
      </c>
      <c r="B22" s="8" t="inlineStr">
        <is>
          <t>Hybrid engine</t>
        </is>
      </c>
      <c r="C22" s="9" t="n">
        <v>1</v>
      </c>
      <c r="D22" s="9" t="n">
        <v>0</v>
      </c>
      <c r="E22" s="9" t="n">
        <v>9</v>
      </c>
      <c r="F22" s="9">
        <f>IFERROR(MIN(C22,D22)*E22/C22,0)</f>
        <v/>
      </c>
      <c r="G22" s="9" t="n"/>
    </row>
    <row r="23" ht="14.15" customHeight="1">
      <c r="A23" s="7" t="n">
        <v>8</v>
      </c>
      <c r="B23" s="8" t="inlineStr">
        <is>
          <t>Manual gear system</t>
        </is>
      </c>
      <c r="C23" s="9" t="n">
        <v>2</v>
      </c>
      <c r="D23" s="9" t="n">
        <v>0</v>
      </c>
      <c r="E23" s="9" t="n">
        <v>8</v>
      </c>
      <c r="F23" s="9">
        <f>IFERROR(MIN(C23,D23)*E23/C23,0)</f>
        <v/>
      </c>
      <c r="G23" s="9" t="n"/>
    </row>
    <row r="24" ht="14.15" customHeight="1">
      <c r="A24" s="7" t="n">
        <v>9</v>
      </c>
      <c r="B24" s="8" t="inlineStr">
        <is>
          <t>Power gear system</t>
        </is>
      </c>
      <c r="C24" s="9" t="n">
        <v>2</v>
      </c>
      <c r="D24" s="9" t="n">
        <v>0</v>
      </c>
      <c r="E24" s="9" t="n">
        <v>8</v>
      </c>
      <c r="F24" s="9">
        <f>IFERROR(MIN(C24,D24)*E24/C24,0)</f>
        <v/>
      </c>
      <c r="G24" s="9" t="n"/>
    </row>
    <row r="25" ht="14.15" customHeight="1">
      <c r="A25" s="7" t="n">
        <v>10</v>
      </c>
      <c r="B25" s="8" t="inlineStr">
        <is>
          <t>Power transmission system</t>
        </is>
      </c>
      <c r="C25" s="9" t="n">
        <v>1</v>
      </c>
      <c r="D25" s="9" t="n">
        <v>0</v>
      </c>
      <c r="E25" s="9" t="n">
        <v>8</v>
      </c>
      <c r="F25" s="9">
        <f>IFERROR(MIN(C25,D25)*E25/C25,0)</f>
        <v/>
      </c>
      <c r="G25" s="9" t="n"/>
    </row>
    <row r="26" ht="14.15" customHeight="1">
      <c r="A26" s="7" t="n">
        <v>11</v>
      </c>
      <c r="B26" s="8" t="inlineStr">
        <is>
          <t>Tire changer machine</t>
        </is>
      </c>
      <c r="C26" s="9" t="n">
        <v>1</v>
      </c>
      <c r="D26" s="9" t="n">
        <v>0</v>
      </c>
      <c r="E26" s="9" t="n">
        <v>7</v>
      </c>
      <c r="F26" s="9">
        <f>IFERROR(MIN(C26,D26)*E26/C26,0)</f>
        <v/>
      </c>
      <c r="G26" s="9" t="n"/>
    </row>
    <row r="27" ht="14.15" customHeight="1">
      <c r="A27" s="7" t="n">
        <v>12</v>
      </c>
      <c r="B27" s="8" t="inlineStr">
        <is>
          <t>Wheel balancing machine</t>
        </is>
      </c>
      <c r="C27" s="9" t="n">
        <v>1</v>
      </c>
      <c r="D27" s="9" t="n">
        <v>0</v>
      </c>
      <c r="E27" s="9" t="n">
        <v>7</v>
      </c>
      <c r="F27" s="9">
        <f>IFERROR(MIN(C27,D27)*E27/C27,0)</f>
        <v/>
      </c>
      <c r="G27" s="9" t="n"/>
    </row>
    <row r="28" ht="14.15" customHeight="1">
      <c r="A28" s="7" t="n">
        <v>13</v>
      </c>
      <c r="B28" s="8" t="inlineStr">
        <is>
          <t>Hydraulic lift</t>
        </is>
      </c>
      <c r="C28" s="9" t="n">
        <v>1</v>
      </c>
      <c r="D28" s="9" t="n">
        <v>0</v>
      </c>
      <c r="E28" s="9" t="n">
        <v>8</v>
      </c>
      <c r="F28" s="9">
        <f>IFERROR(MIN(C28,D28)*E28/C28,0)</f>
        <v/>
      </c>
      <c r="G28" s="9" t="n"/>
    </row>
    <row r="29" ht="14.15" customHeight="1">
      <c r="A29" s="7" t="n">
        <v>14</v>
      </c>
      <c r="B29" s="8" t="inlineStr">
        <is>
          <t>Gasoline injector cleaner</t>
        </is>
      </c>
      <c r="C29" s="9" t="n">
        <v>1</v>
      </c>
      <c r="D29" s="9" t="n">
        <v>0</v>
      </c>
      <c r="E29" s="9" t="n">
        <v>6</v>
      </c>
      <c r="F29" s="9">
        <f>IFERROR(MIN(C29,D29)*E29/C29,0)</f>
        <v/>
      </c>
      <c r="G29" s="9" t="n"/>
    </row>
    <row r="30" ht="14.15" customHeight="1">
      <c r="A30" s="7" t="n">
        <v>15</v>
      </c>
      <c r="B30" s="8" t="inlineStr">
        <is>
          <t>Exhaust gas analyser</t>
        </is>
      </c>
      <c r="C30" s="9" t="n">
        <v>1</v>
      </c>
      <c r="D30" s="9" t="n">
        <v>0</v>
      </c>
      <c r="E30" s="9" t="n">
        <v>6</v>
      </c>
      <c r="F30" s="9">
        <f>IFERROR(MIN(C30,D30)*E30/C30,0)</f>
        <v/>
      </c>
      <c r="G30" s="9" t="n"/>
    </row>
    <row r="31" ht="14.15" customHeight="1">
      <c r="A31" s="7" t="n">
        <v>16</v>
      </c>
      <c r="B31" s="8" t="inlineStr">
        <is>
          <t>Engine scanner</t>
        </is>
      </c>
      <c r="C31" s="9" t="n">
        <v>1</v>
      </c>
      <c r="D31" s="9" t="n">
        <v>0</v>
      </c>
      <c r="E31" s="9" t="n">
        <v>7</v>
      </c>
      <c r="F31" s="9">
        <f>IFERROR(MIN(C31,D31)*E31/C31,0)</f>
        <v/>
      </c>
      <c r="G31" s="9" t="n"/>
    </row>
    <row r="32" ht="14.15" customHeight="1">
      <c r="A32" s="7" t="n">
        <v>17</v>
      </c>
      <c r="B32" s="8" t="inlineStr">
        <is>
          <t>On board diagnostic (OBD) scanner</t>
        </is>
      </c>
      <c r="C32" s="9" t="n">
        <v>1</v>
      </c>
      <c r="D32" s="9" t="n">
        <v>0</v>
      </c>
      <c r="E32" s="9" t="n">
        <v>7</v>
      </c>
      <c r="F32" s="9">
        <f>IFERROR(MIN(C32,D32)*E32/C32,0)</f>
        <v/>
      </c>
      <c r="G32" s="9" t="n"/>
    </row>
    <row r="33" ht="14.15" customHeight="1">
      <c r="A33" s="7" t="n">
        <v>18</v>
      </c>
      <c r="B33" s="8" t="inlineStr">
        <is>
          <t>Cut-way engine model (Disel and Petrol)</t>
        </is>
      </c>
      <c r="C33" s="9" t="n">
        <v>1</v>
      </c>
      <c r="D33" s="9" t="n">
        <v>0</v>
      </c>
      <c r="E33" s="9" t="n">
        <v>8</v>
      </c>
      <c r="F33" s="9">
        <f>IFERROR(MIN(C33,D33)*E33/C33,0)</f>
        <v/>
      </c>
      <c r="G33" s="9" t="n"/>
    </row>
    <row r="34" ht="14.15" customHeight="1">
      <c r="A34" s="7" t="n">
        <v>19</v>
      </c>
      <c r="B34" s="8" t="inlineStr">
        <is>
          <t>Trainer board of auto electric system</t>
        </is>
      </c>
      <c r="C34" s="9" t="n">
        <v>1</v>
      </c>
      <c r="D34" s="9" t="n">
        <v>0</v>
      </c>
      <c r="E34" s="9" t="n">
        <v>6</v>
      </c>
      <c r="F34" s="9">
        <f>IFERROR(MIN(C34,D34)*E34/C34,0)</f>
        <v/>
      </c>
      <c r="G34" s="9" t="n"/>
    </row>
    <row r="35" ht="14.15" customHeight="1">
      <c r="A35" s="7" t="n">
        <v>20</v>
      </c>
      <c r="B35" s="8" t="inlineStr">
        <is>
          <t>Trainer board of brake system</t>
        </is>
      </c>
      <c r="C35" s="9" t="n">
        <v>1</v>
      </c>
      <c r="D35" s="9" t="n">
        <v>0</v>
      </c>
      <c r="E35" s="9" t="n">
        <v>6</v>
      </c>
      <c r="F35" s="9">
        <f>IFERROR(MIN(C35,D35)*E35/C35,0)</f>
        <v/>
      </c>
      <c r="G35" s="9" t="n"/>
    </row>
    <row r="36" ht="14.15" customHeight="1">
      <c r="A36" s="7" t="n">
        <v>21</v>
      </c>
      <c r="B36" s="8" t="inlineStr">
        <is>
          <t>Trainer board of transmission system</t>
        </is>
      </c>
      <c r="C36" s="9" t="n">
        <v>1</v>
      </c>
      <c r="D36" s="9" t="n">
        <v>0</v>
      </c>
      <c r="E36" s="9" t="n">
        <v>6</v>
      </c>
      <c r="F36" s="9">
        <f>IFERROR(MIN(C36,D36)*E36/C36,0)</f>
        <v/>
      </c>
      <c r="G36" s="9" t="n"/>
    </row>
    <row r="37" ht="14.15" customHeight="1">
      <c r="A37" s="7" t="n">
        <v>22</v>
      </c>
      <c r="B37" s="8" t="inlineStr">
        <is>
          <t>High pressure pump (Disel)</t>
        </is>
      </c>
      <c r="C37" s="9" t="n">
        <v>1</v>
      </c>
      <c r="D37" s="9" t="n">
        <v>0</v>
      </c>
      <c r="E37" s="9" t="n">
        <v>6</v>
      </c>
      <c r="F37" s="9">
        <f>IFERROR(MIN(C37,D37)*E37/C37,0)</f>
        <v/>
      </c>
      <c r="G37" s="9" t="n"/>
    </row>
    <row r="38" ht="14.15" customHeight="1">
      <c r="A38" s="7" t="n">
        <v>23</v>
      </c>
      <c r="B38" s="8" t="inlineStr">
        <is>
          <t>Complete tool box (with tools)</t>
        </is>
      </c>
      <c r="C38" s="9" t="n">
        <v>25</v>
      </c>
      <c r="D38" s="9" t="n">
        <v>0</v>
      </c>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 with screen</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Hair cutting chair</t>
        </is>
      </c>
      <c r="C19" s="9" t="n">
        <v>5</v>
      </c>
      <c r="D19" s="9" t="n">
        <v>0</v>
      </c>
      <c r="E19" s="9" t="n">
        <v>6</v>
      </c>
      <c r="F19" s="9">
        <f>IFERROR(MIN(C19,D19)*E19/C19,0)</f>
        <v/>
      </c>
      <c r="G19" s="9" t="n"/>
    </row>
    <row r="20" ht="14.15" customHeight="1">
      <c r="A20" s="7" t="n">
        <v>5</v>
      </c>
      <c r="B20" s="8" t="inlineStr">
        <is>
          <t>Facial bed</t>
        </is>
      </c>
      <c r="C20" s="9" t="n">
        <v>5</v>
      </c>
      <c r="D20" s="9" t="n">
        <v>0</v>
      </c>
      <c r="E20" s="9" t="n">
        <v>6</v>
      </c>
      <c r="F20" s="9">
        <f>IFERROR(MIN(C20,D20)*E20/C20,0)</f>
        <v/>
      </c>
      <c r="G20" s="9" t="n"/>
    </row>
    <row r="21" ht="14.15" customHeight="1">
      <c r="A21" s="7" t="n">
        <v>6</v>
      </c>
      <c r="B21" s="8" t="inlineStr">
        <is>
          <t>Manicure and pedicure table</t>
        </is>
      </c>
      <c r="C21" s="9" t="n">
        <v>5</v>
      </c>
      <c r="D21" s="9" t="n">
        <v>0</v>
      </c>
      <c r="E21" s="9" t="n">
        <v>6</v>
      </c>
      <c r="F21" s="9">
        <f>IFERROR(MIN(C21,D21)*E21/C21,0)</f>
        <v/>
      </c>
      <c r="G21" s="9" t="n"/>
    </row>
    <row r="22" ht="14.15" customHeight="1">
      <c r="A22" s="7" t="n">
        <v>7</v>
      </c>
      <c r="B22" s="8" t="inlineStr">
        <is>
          <t>Threading chair</t>
        </is>
      </c>
      <c r="C22" s="9" t="n">
        <v>5</v>
      </c>
      <c r="D22" s="9" t="n">
        <v>0</v>
      </c>
      <c r="E22" s="9" t="n">
        <v>5</v>
      </c>
      <c r="F22" s="9">
        <f>IFERROR(MIN(C22,D22)*E22/C22,0)</f>
        <v/>
      </c>
      <c r="G22" s="9" t="n"/>
    </row>
    <row r="23" ht="14.15" customHeight="1">
      <c r="A23" s="7" t="n">
        <v>8</v>
      </c>
      <c r="B23" s="8" t="inlineStr">
        <is>
          <t>Shampoo bed</t>
        </is>
      </c>
      <c r="C23" s="9" t="n">
        <v>2</v>
      </c>
      <c r="D23" s="9" t="n">
        <v>0</v>
      </c>
      <c r="E23" s="9" t="n">
        <v>5</v>
      </c>
      <c r="F23" s="9">
        <f>IFERROR(MIN(C23,D23)*E23/C23,0)</f>
        <v/>
      </c>
      <c r="G23" s="9" t="n"/>
    </row>
    <row r="24" ht="14.15" customHeight="1">
      <c r="A24" s="7" t="n">
        <v>9</v>
      </c>
      <c r="B24" s="8" t="inlineStr">
        <is>
          <t>Steam machine (face)</t>
        </is>
      </c>
      <c r="C24" s="9" t="n">
        <v>5</v>
      </c>
      <c r="D24" s="9" t="n">
        <v>0</v>
      </c>
      <c r="E24" s="9" t="n">
        <v>7</v>
      </c>
      <c r="F24" s="9">
        <f>IFERROR(MIN(C24,D24)*E24/C24,0)</f>
        <v/>
      </c>
      <c r="G24" s="9" t="n"/>
    </row>
    <row r="25" ht="14.15" customHeight="1">
      <c r="A25" s="7" t="n">
        <v>10</v>
      </c>
      <c r="B25" s="8" t="inlineStr">
        <is>
          <t>Steam machine (hair)</t>
        </is>
      </c>
      <c r="C25" s="9" t="n">
        <v>2</v>
      </c>
      <c r="D25" s="9" t="n">
        <v>0</v>
      </c>
      <c r="E25" s="9" t="n">
        <v>7</v>
      </c>
      <c r="F25" s="9">
        <f>IFERROR(MIN(C25,D25)*E25/C25,0)</f>
        <v/>
      </c>
      <c r="G25" s="9" t="n"/>
    </row>
    <row r="26" ht="14.15" customHeight="1">
      <c r="A26" s="7" t="n">
        <v>11</v>
      </c>
      <c r="B26" s="8" t="inlineStr">
        <is>
          <t>Hair dryer</t>
        </is>
      </c>
      <c r="C26" s="9" t="n">
        <v>5</v>
      </c>
      <c r="D26" s="9" t="n">
        <v>0</v>
      </c>
      <c r="E26" s="9" t="n">
        <v>7</v>
      </c>
      <c r="F26" s="9">
        <f>IFERROR(MIN(C26,D26)*E26/C26,0)</f>
        <v/>
      </c>
      <c r="G26" s="9" t="n"/>
    </row>
    <row r="27" ht="14.15" customHeight="1">
      <c r="A27" s="7" t="n">
        <v>12</v>
      </c>
      <c r="B27" s="8" t="inlineStr">
        <is>
          <t>Hair straightener</t>
        </is>
      </c>
      <c r="C27" s="9" t="n">
        <v>5</v>
      </c>
      <c r="D27" s="9" t="n">
        <v>0</v>
      </c>
      <c r="E27" s="9" t="n">
        <v>7</v>
      </c>
      <c r="F27" s="9">
        <f>IFERROR(MIN(C27,D27)*E27/C27,0)</f>
        <v/>
      </c>
      <c r="G27" s="9" t="n"/>
    </row>
    <row r="28" ht="14.15" customHeight="1">
      <c r="A28" s="7" t="n">
        <v>13</v>
      </c>
      <c r="B28" s="8" t="inlineStr">
        <is>
          <t>Curl/tong</t>
        </is>
      </c>
      <c r="C28" s="9" t="n">
        <v>5</v>
      </c>
      <c r="D28" s="9" t="n">
        <v>0</v>
      </c>
      <c r="E28" s="9" t="n">
        <v>6</v>
      </c>
      <c r="F28" s="9">
        <f>IFERROR(MIN(C28,D28)*E28/C28,0)</f>
        <v/>
      </c>
      <c r="G28" s="9" t="n"/>
    </row>
    <row r="29" ht="14.15" customHeight="1">
      <c r="A29" s="7" t="n">
        <v>14</v>
      </c>
      <c r="B29" s="8" t="inlineStr">
        <is>
          <t>Scissors</t>
        </is>
      </c>
      <c r="C29" s="9" t="n">
        <v>25</v>
      </c>
      <c r="D29" s="9" t="n">
        <v>0</v>
      </c>
      <c r="E29" s="9" t="n">
        <v>4</v>
      </c>
      <c r="F29" s="9">
        <f>IFERROR(MIN(C29,D29)*E29/C29,0)</f>
        <v/>
      </c>
      <c r="G29" s="9" t="n"/>
    </row>
    <row r="30" ht="14.15" customHeight="1">
      <c r="A30" s="7" t="n">
        <v>15</v>
      </c>
      <c r="B30" s="8" t="inlineStr">
        <is>
          <t>Crimper</t>
        </is>
      </c>
      <c r="C30" s="9" t="n">
        <v>2</v>
      </c>
      <c r="D30" s="9" t="n">
        <v>0</v>
      </c>
      <c r="E30" s="9" t="n">
        <v>5</v>
      </c>
      <c r="F30" s="9">
        <f>IFERROR(MIN(C30,D30)*E30/C30,0)</f>
        <v/>
      </c>
      <c r="G30" s="9" t="n"/>
    </row>
    <row r="31" ht="14.15" customHeight="1">
      <c r="A31" s="7" t="n">
        <v>16</v>
      </c>
      <c r="B31" s="8" t="inlineStr">
        <is>
          <t>Facial machine (3 in one)</t>
        </is>
      </c>
      <c r="C31" s="9" t="n">
        <v>2</v>
      </c>
      <c r="D31" s="9" t="n">
        <v>0</v>
      </c>
      <c r="E31" s="9" t="n">
        <v>8</v>
      </c>
      <c r="F31" s="9">
        <f>IFERROR(MIN(C31,D31)*E31/C31,0)</f>
        <v/>
      </c>
      <c r="G31" s="9" t="n"/>
    </row>
    <row r="32" ht="14.15" customHeight="1">
      <c r="A32" s="7" t="n">
        <v>17</v>
      </c>
      <c r="B32" s="8" t="inlineStr">
        <is>
          <t>Wax heater</t>
        </is>
      </c>
      <c r="C32" s="9" t="n">
        <v>5</v>
      </c>
      <c r="D32" s="9" t="n">
        <v>0</v>
      </c>
      <c r="E32" s="9" t="n">
        <v>6</v>
      </c>
      <c r="F32" s="9">
        <f>IFERROR(MIN(C32,D32)*E32/C32,0)</f>
        <v/>
      </c>
      <c r="G32" s="9" t="n"/>
    </row>
    <row r="33" ht="14.15" customHeight="1">
      <c r="A33" s="7" t="n">
        <v>18</v>
      </c>
      <c r="B33" s="8" t="inlineStr">
        <is>
          <t>Piercing gun</t>
        </is>
      </c>
      <c r="C33" s="9" t="n">
        <v>2</v>
      </c>
      <c r="D33" s="9" t="n">
        <v>0</v>
      </c>
      <c r="E33" s="9" t="n">
        <v>7</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Channel wiring practice board/booth</t>
        </is>
      </c>
      <c r="C18" s="9" t="n">
        <v>25</v>
      </c>
      <c r="D18" s="9" t="n">
        <v>0</v>
      </c>
      <c r="E18" s="9" t="n">
        <v>9</v>
      </c>
      <c r="F18" s="9">
        <f>IFERROR(MIN(C18,D18)*E18/C18,0)</f>
        <v/>
      </c>
      <c r="G18" s="9" t="n"/>
    </row>
    <row r="19" ht="14.15" customHeight="1">
      <c r="A19" s="7" t="n">
        <v>4</v>
      </c>
      <c r="B19" s="8" t="inlineStr">
        <is>
          <t>Concealed wiring practice booth/wall</t>
        </is>
      </c>
      <c r="C19" s="9" t="n">
        <v>5</v>
      </c>
      <c r="D19" s="9" t="n">
        <v>0</v>
      </c>
      <c r="E19" s="9" t="n">
        <v>8</v>
      </c>
      <c r="F19" s="9">
        <f>IFERROR(MIN(C19,D19)*E19/C19,0)</f>
        <v/>
      </c>
      <c r="G19" s="9" t="n"/>
    </row>
    <row r="20" ht="14.15" customHeight="1">
      <c r="A20" s="7" t="n">
        <v>5</v>
      </c>
      <c r="B20" s="8" t="inlineStr">
        <is>
          <t>Main Distribution Board with busbar, CB and other accessories (Training model)</t>
        </is>
      </c>
      <c r="C20" s="9" t="n">
        <v>5</v>
      </c>
      <c r="D20" s="9" t="n">
        <v>0</v>
      </c>
      <c r="E20" s="9" t="n">
        <v>9</v>
      </c>
      <c r="F20" s="9">
        <f>IFERROR(MIN(C20,D20)*E20/C20,0)</f>
        <v/>
      </c>
      <c r="G20" s="9" t="n"/>
    </row>
    <row r="21" ht="14.15" customHeight="1">
      <c r="A21" s="7" t="n">
        <v>6</v>
      </c>
      <c r="B21" s="8" t="inlineStr">
        <is>
          <t>Sub Distribution Board with busbar, CB and other accessories (Training model)</t>
        </is>
      </c>
      <c r="C21" s="9" t="n">
        <v>5</v>
      </c>
      <c r="D21" s="9" t="n">
        <v>0</v>
      </c>
      <c r="E21" s="9" t="n">
        <v>8</v>
      </c>
      <c r="F21" s="9">
        <f>IFERROR(MIN(C21,D21)*E21/C21,0)</f>
        <v/>
      </c>
      <c r="G21" s="9" t="n"/>
    </row>
    <row r="22" ht="14.15" customHeight="1">
      <c r="A22" s="7" t="n">
        <v>7</v>
      </c>
      <c r="B22" s="8" t="inlineStr">
        <is>
          <t>DOL Starter</t>
        </is>
      </c>
      <c r="C22" s="9" t="n">
        <v>10</v>
      </c>
      <c r="D22" s="9" t="n">
        <v>0</v>
      </c>
      <c r="E22" s="9" t="n">
        <v>8</v>
      </c>
      <c r="F22" s="9">
        <f>IFERROR(MIN(C22,D22)*E22/C22,0)</f>
        <v/>
      </c>
      <c r="G22" s="9" t="n"/>
    </row>
    <row r="23" ht="14.15" customHeight="1">
      <c r="A23" s="7" t="n">
        <v>8</v>
      </c>
      <c r="B23" s="8" t="inlineStr">
        <is>
          <t>Generator (2 to 5 KW)</t>
        </is>
      </c>
      <c r="C23" s="9" t="n">
        <v>1</v>
      </c>
      <c r="D23" s="9" t="n">
        <v>0</v>
      </c>
      <c r="E23" s="9" t="n">
        <v>8</v>
      </c>
      <c r="F23" s="9">
        <f>IFERROR(MIN(C23,D23)*E23/C23,0)</f>
        <v/>
      </c>
      <c r="G23" s="9" t="n"/>
    </row>
    <row r="24" ht="14.15" customHeight="1">
      <c r="A24" s="7" t="n">
        <v>9</v>
      </c>
      <c r="B24" s="8" t="inlineStr">
        <is>
          <t>ATS</t>
        </is>
      </c>
      <c r="C24" s="9" t="n">
        <v>3</v>
      </c>
      <c r="D24" s="9" t="n">
        <v>0</v>
      </c>
      <c r="E24" s="9" t="n">
        <v>6</v>
      </c>
      <c r="F24" s="9">
        <f>IFERROR(MIN(C24,D24)*E24/C24,0)</f>
        <v/>
      </c>
      <c r="G24" s="9" t="n"/>
    </row>
    <row r="25" ht="14.15" customHeight="1">
      <c r="A25" s="7" t="n">
        <v>10</v>
      </c>
      <c r="B25" s="8" t="inlineStr">
        <is>
          <t>Changeover switch</t>
        </is>
      </c>
      <c r="C25" s="9" t="n">
        <v>3</v>
      </c>
      <c r="D25" s="9" t="n">
        <v>0</v>
      </c>
      <c r="E25" s="9" t="n">
        <v>6</v>
      </c>
      <c r="F25" s="9">
        <f>IFERROR(MIN(C25,D25)*E25/C25,0)</f>
        <v/>
      </c>
      <c r="G25" s="9" t="n"/>
    </row>
    <row r="26" ht="14.15" customHeight="1">
      <c r="A26" s="7" t="n">
        <v>11</v>
      </c>
      <c r="B26" s="8" t="inlineStr">
        <is>
          <t>Solar power system (Solar panel, battery, charge controller and load)</t>
        </is>
      </c>
      <c r="C26" s="9" t="n">
        <v>5</v>
      </c>
      <c r="D26" s="9" t="n">
        <v>0</v>
      </c>
      <c r="E26" s="9" t="n">
        <v>8</v>
      </c>
      <c r="F26" s="9">
        <f>IFERROR(MIN(C26,D26)*E26/C26,0)</f>
        <v/>
      </c>
      <c r="G26" s="9" t="n"/>
    </row>
    <row r="27" ht="14.15" customHeight="1">
      <c r="A27" s="7" t="n">
        <v>12</v>
      </c>
      <c r="B27" s="8" t="inlineStr">
        <is>
          <t>Electric drill machine</t>
        </is>
      </c>
      <c r="C27" s="9" t="n">
        <v>10</v>
      </c>
      <c r="D27" s="9" t="n">
        <v>0</v>
      </c>
      <c r="E27" s="9" t="n">
        <v>6</v>
      </c>
      <c r="F27" s="9">
        <f>IFERROR(MIN(C27,D27)*E27/C27,0)</f>
        <v/>
      </c>
      <c r="G27" s="9" t="n"/>
    </row>
    <row r="28" ht="14.15" customHeight="1">
      <c r="A28" s="7" t="n">
        <v>13</v>
      </c>
      <c r="B28" s="8" t="inlineStr">
        <is>
          <t>Electric grinding machine</t>
        </is>
      </c>
      <c r="C28" s="9" t="n">
        <v>10</v>
      </c>
      <c r="D28" s="9" t="n">
        <v>0</v>
      </c>
      <c r="E28" s="9" t="n">
        <v>6</v>
      </c>
      <c r="F28" s="9">
        <f>IFERROR(MIN(C28,D28)*E28/C28,0)</f>
        <v/>
      </c>
      <c r="G28" s="9" t="n"/>
    </row>
    <row r="29" ht="14.15" customHeight="1">
      <c r="A29" s="7" t="n">
        <v>14</v>
      </c>
      <c r="B29" s="8" t="inlineStr">
        <is>
          <t>Energy Meter (1 Phase)</t>
        </is>
      </c>
      <c r="C29" s="9" t="n">
        <v>10</v>
      </c>
      <c r="D29" s="9" t="n">
        <v>0</v>
      </c>
      <c r="E29" s="9" t="n">
        <v>7</v>
      </c>
      <c r="F29" s="9">
        <f>IFERROR(MIN(C29,D29)*E29/C29,0)</f>
        <v/>
      </c>
      <c r="G29" s="9" t="n"/>
    </row>
    <row r="30" ht="14.15" customHeight="1">
      <c r="A30" s="7" t="n">
        <v>15</v>
      </c>
      <c r="B30" s="8" t="inlineStr">
        <is>
          <t>Energy Meter (3 Phase)</t>
        </is>
      </c>
      <c r="C30" s="9" t="n">
        <v>5</v>
      </c>
      <c r="D30" s="9" t="n">
        <v>0</v>
      </c>
      <c r="E30" s="9" t="n">
        <v>7</v>
      </c>
      <c r="F30" s="9">
        <f>IFERROR(MIN(C30,D30)*E30/C30,0)</f>
        <v/>
      </c>
      <c r="G30" s="9" t="n"/>
    </row>
    <row r="31" ht="14.15" customHeight="1">
      <c r="A31" s="7" t="n">
        <v>16</v>
      </c>
      <c r="B31" s="8" t="inlineStr">
        <is>
          <t>Earth tester</t>
        </is>
      </c>
      <c r="C31" s="9" t="n">
        <v>2</v>
      </c>
      <c r="D31" s="9" t="n">
        <v>0</v>
      </c>
      <c r="E31" s="9" t="n">
        <v>7</v>
      </c>
      <c r="F31" s="9">
        <f>IFERROR(MIN(C31,D31)*E31/C31,0)</f>
        <v/>
      </c>
      <c r="G31" s="9" t="n"/>
    </row>
    <row r="32" ht="14.15" customHeight="1">
      <c r="A32" s="7" t="n">
        <v>17</v>
      </c>
      <c r="B32" s="8" t="inlineStr">
        <is>
          <t>Megger</t>
        </is>
      </c>
      <c r="C32" s="9" t="n">
        <v>2</v>
      </c>
      <c r="D32" s="9" t="n">
        <v>0</v>
      </c>
      <c r="E32" s="9" t="n">
        <v>7</v>
      </c>
      <c r="F32" s="9">
        <f>IFERROR(MIN(C32,D32)*E32/C32,0)</f>
        <v/>
      </c>
      <c r="G32" s="9" t="n"/>
    </row>
    <row r="33" ht="14.15" customHeight="1">
      <c r="A33" s="7" t="n">
        <v>18</v>
      </c>
      <c r="B33" s="8" t="inlineStr">
        <is>
          <t>Phase sequence meter</t>
        </is>
      </c>
      <c r="C33" s="9" t="n">
        <v>1</v>
      </c>
      <c r="D33" s="9" t="n">
        <v>0</v>
      </c>
      <c r="E33" s="9" t="n">
        <v>6</v>
      </c>
      <c r="F33" s="9">
        <f>IFERROR(MIN(C33,D33)*E33/C33,0)</f>
        <v/>
      </c>
      <c r="G33" s="9" t="n"/>
    </row>
    <row r="34" ht="14.15" customHeight="1">
      <c r="A34" s="7" t="n">
        <v>19</v>
      </c>
      <c r="B34" s="8" t="inlineStr">
        <is>
          <t>Single phase induction motor</t>
        </is>
      </c>
      <c r="C34" s="9" t="n">
        <v>5</v>
      </c>
      <c r="D34" s="9" t="n">
        <v>0</v>
      </c>
      <c r="E34" s="9" t="n">
        <v>8</v>
      </c>
      <c r="F34" s="9">
        <f>IFERROR(MIN(C34,D34)*E34/C34,0)</f>
        <v/>
      </c>
      <c r="G34" s="9" t="n"/>
    </row>
    <row r="35" ht="14.15" customHeight="1">
      <c r="A35" s="7" t="n">
        <v>20</v>
      </c>
      <c r="B35" s="8" t="inlineStr">
        <is>
          <t>Three phase induction motor</t>
        </is>
      </c>
      <c r="C35" s="9" t="n">
        <v>3</v>
      </c>
      <c r="D35" s="9" t="n">
        <v>0</v>
      </c>
      <c r="E35" s="9" t="n">
        <v>8</v>
      </c>
      <c r="F35" s="9">
        <f>IFERROR(MIN(C35,D35)*E35/C35,0)</f>
        <v/>
      </c>
      <c r="G35" s="9" t="n"/>
    </row>
    <row r="36" ht="14.15" customHeight="1">
      <c r="A36" s="7" t="n">
        <v>21</v>
      </c>
      <c r="B36" s="8" t="inlineStr">
        <is>
          <t>Ceiling fan</t>
        </is>
      </c>
      <c r="C36" s="9" t="n">
        <v>5</v>
      </c>
      <c r="D36" s="9" t="n">
        <v>0</v>
      </c>
      <c r="E36" s="9" t="n">
        <v>5</v>
      </c>
      <c r="F36" s="9">
        <f>IFERROR(MIN(C36,D36)*E36/C36,0)</f>
        <v/>
      </c>
      <c r="G36" s="9" t="n"/>
    </row>
    <row r="37" ht="14.15" customHeight="1">
      <c r="A37" s="7" t="n">
        <v>22</v>
      </c>
      <c r="B37" s="8" t="inlineStr">
        <is>
          <t>Pump Motor</t>
        </is>
      </c>
      <c r="C37" s="9" t="n">
        <v>2</v>
      </c>
      <c r="D37" s="9" t="n">
        <v>0</v>
      </c>
      <c r="E37" s="9" t="n">
        <v>6</v>
      </c>
      <c r="F37" s="9">
        <f>IFERROR(MIN(C37,D37)*E37/C37,0)</f>
        <v/>
      </c>
      <c r="G37" s="9" t="n"/>
    </row>
    <row r="38" ht="14.15" customHeight="1">
      <c r="A38" s="7" t="n">
        <v>23</v>
      </c>
      <c r="B38" s="8" t="inlineStr">
        <is>
          <t>Bench Vice</t>
        </is>
      </c>
      <c r="C38" s="9" t="n">
        <v>5</v>
      </c>
      <c r="D38" s="9" t="n">
        <v>0</v>
      </c>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Garments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Fashion Garments</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Garments,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Projector &amp; Screen (HD quality, HDMI support, 3000+ lumens)</t>
        </is>
      </c>
      <c r="C17" s="9" t="n">
        <v>1</v>
      </c>
      <c r="D17" s="9" t="n">
        <v>0</v>
      </c>
      <c r="E17" s="9" t="n">
        <v>5</v>
      </c>
      <c r="F17" s="9">
        <f>IFERROR(MIN(C17,D17)*E17/C17,0)</f>
        <v/>
      </c>
      <c r="G17" s="9" t="n"/>
    </row>
    <row r="18" ht="14.15" customHeight="1">
      <c r="A18" s="7" t="n">
        <v>3</v>
      </c>
      <c r="B18" s="8" t="inlineStr">
        <is>
          <t>Printer</t>
        </is>
      </c>
      <c r="C18" s="9" t="n">
        <v>1</v>
      </c>
      <c r="D18" s="9" t="n">
        <v>0</v>
      </c>
      <c r="E18" s="9" t="n">
        <v>4</v>
      </c>
      <c r="F18" s="9">
        <f>IFERROR(MIN(C18,D18)*E18/C18,0)</f>
        <v/>
      </c>
      <c r="G18" s="9" t="n"/>
    </row>
    <row r="19" ht="14.15" customHeight="1">
      <c r="A19" s="7" t="n">
        <v>4</v>
      </c>
      <c r="B19" s="8" t="inlineStr">
        <is>
          <t>Mannequins/Dress Forms (Female and male standard sizes)</t>
        </is>
      </c>
      <c r="C19" s="9" t="n">
        <v>2</v>
      </c>
      <c r="D19" s="9" t="n">
        <v>0</v>
      </c>
      <c r="E19" s="9" t="n">
        <v>6</v>
      </c>
      <c r="F19" s="9">
        <f>IFERROR(MIN(C19,D19)*E19/C19,0)</f>
        <v/>
      </c>
      <c r="G19" s="9" t="n"/>
    </row>
    <row r="20" ht="14.15" customHeight="1">
      <c r="A20" s="7" t="n">
        <v>5</v>
      </c>
      <c r="B20" s="8" t="inlineStr">
        <is>
          <t>Single needle lock stitch machine</t>
        </is>
      </c>
      <c r="C20" s="9" t="n">
        <v>15</v>
      </c>
      <c r="D20" s="9" t="n">
        <v>0</v>
      </c>
      <c r="E20" s="9" t="n">
        <v>10</v>
      </c>
      <c r="F20" s="9">
        <f>IFERROR(MIN(C20,D20)*E20/C20,0)</f>
        <v/>
      </c>
      <c r="G20" s="9" t="n"/>
    </row>
    <row r="21" ht="14.15" customHeight="1">
      <c r="A21" s="7" t="n">
        <v>6</v>
      </c>
      <c r="B21" s="8" t="inlineStr">
        <is>
          <t>Overlock machine</t>
        </is>
      </c>
      <c r="C21" s="9" t="n">
        <v>2</v>
      </c>
      <c r="D21" s="9" t="n">
        <v>0</v>
      </c>
      <c r="E21" s="9" t="n">
        <v>9</v>
      </c>
      <c r="F21" s="9">
        <f>IFERROR(MIN(C21,D21)*E21/C21,0)</f>
        <v/>
      </c>
      <c r="G21" s="9" t="n"/>
    </row>
    <row r="22" ht="14.15" customHeight="1">
      <c r="A22" s="7" t="n">
        <v>7</v>
      </c>
      <c r="B22" s="8" t="inlineStr">
        <is>
          <t>Cutting table (60”x 50”)</t>
        </is>
      </c>
      <c r="C22" s="9" t="n">
        <v>2</v>
      </c>
      <c r="D22" s="9" t="n">
        <v>0</v>
      </c>
      <c r="E22" s="9" t="n">
        <v>6</v>
      </c>
      <c r="F22" s="9">
        <f>IFERROR(MIN(C22,D22)*E22/C22,0)</f>
        <v/>
      </c>
      <c r="G22" s="9" t="n"/>
    </row>
    <row r="23" ht="14.15" customHeight="1">
      <c r="A23" s="7" t="n">
        <v>8</v>
      </c>
      <c r="B23" s="8" t="inlineStr">
        <is>
          <t>Electric iron</t>
        </is>
      </c>
      <c r="C23" s="9" t="n">
        <v>1</v>
      </c>
      <c r="D23" s="9" t="n">
        <v>0</v>
      </c>
      <c r="E23" s="9" t="n">
        <v>6</v>
      </c>
      <c r="F23" s="9">
        <f>IFERROR(MIN(C23,D23)*E23/C23,0)</f>
        <v/>
      </c>
      <c r="G23" s="9" t="n"/>
    </row>
    <row r="24" ht="14.15" customHeight="1">
      <c r="A24" s="7" t="n">
        <v>9</v>
      </c>
      <c r="B24" s="8" t="inlineStr">
        <is>
          <t>Electric steam iron with iron table</t>
        </is>
      </c>
      <c r="C24" s="9" t="n">
        <v>1</v>
      </c>
      <c r="D24" s="9" t="n">
        <v>0</v>
      </c>
      <c r="E24" s="9" t="n">
        <v>6</v>
      </c>
      <c r="F24" s="9">
        <f>IFERROR(MIN(C24,D24)*E24/C24,0)</f>
        <v/>
      </c>
      <c r="G24" s="9" t="n"/>
    </row>
    <row r="25" ht="14.15" customHeight="1">
      <c r="A25" s="7" t="n">
        <v>10</v>
      </c>
      <c r="B25" s="8" t="inlineStr">
        <is>
          <t>Scissors (10”-12”)</t>
        </is>
      </c>
      <c r="C25" s="9" t="n">
        <v>25</v>
      </c>
      <c r="D25" s="9" t="n">
        <v>0</v>
      </c>
      <c r="E25" s="9" t="n">
        <v>4</v>
      </c>
      <c r="F25" s="9">
        <f>IFERROR(MIN(C25,D25)*E25/C25,0)</f>
        <v/>
      </c>
      <c r="G25" s="9" t="n"/>
    </row>
    <row r="26" ht="14.15" customHeight="1">
      <c r="A26" s="7" t="n">
        <v>11</v>
      </c>
      <c r="B26" s="8" t="inlineStr">
        <is>
          <t>Sewing tool box</t>
        </is>
      </c>
      <c r="C26" s="9" t="n">
        <v>25</v>
      </c>
      <c r="D26" s="9" t="n">
        <v>0</v>
      </c>
      <c r="E26" s="9" t="n">
        <v>4</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Plumbing and Pipe Fitting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Plumbing workstation/ booth with fitting fixture installation facility</t>
        </is>
      </c>
      <c r="C18" s="9" t="n">
        <v>5</v>
      </c>
      <c r="D18" s="9" t="n">
        <v>0</v>
      </c>
      <c r="E18" s="9" t="n">
        <v>9</v>
      </c>
      <c r="F18" s="9">
        <f>IFERROR(MIN(C18,D18)*E18/C18,0)</f>
        <v/>
      </c>
      <c r="G18" s="9" t="n"/>
    </row>
    <row r="19" ht="14.15" customHeight="1">
      <c r="A19" s="7" t="n">
        <v>4</v>
      </c>
      <c r="B19" s="8" t="inlineStr">
        <is>
          <t>Kitchen Sink</t>
        </is>
      </c>
      <c r="C19" s="9" t="n">
        <v>2</v>
      </c>
      <c r="D19" s="9" t="n">
        <v>0</v>
      </c>
      <c r="E19" s="9" t="n">
        <v>7</v>
      </c>
      <c r="F19" s="9">
        <f>IFERROR(MIN(C19,D19)*E19/C19,0)</f>
        <v/>
      </c>
      <c r="G19" s="9" t="n"/>
    </row>
    <row r="20" ht="14.15" customHeight="1">
      <c r="A20" s="7" t="n">
        <v>5</v>
      </c>
      <c r="B20" s="8" t="inlineStr">
        <is>
          <t>Water Basin</t>
        </is>
      </c>
      <c r="C20" s="9" t="n">
        <v>5</v>
      </c>
      <c r="D20" s="9" t="n">
        <v>0</v>
      </c>
      <c r="E20" s="9" t="n">
        <v>7</v>
      </c>
      <c r="F20" s="9">
        <f>IFERROR(MIN(C20,D20)*E20/C20,0)</f>
        <v/>
      </c>
      <c r="G20" s="9" t="n"/>
    </row>
    <row r="21" ht="14.15" customHeight="1">
      <c r="A21" s="7" t="n">
        <v>6</v>
      </c>
      <c r="B21" s="8" t="inlineStr">
        <is>
          <t>Western commode</t>
        </is>
      </c>
      <c r="C21" s="9" t="n">
        <v>5</v>
      </c>
      <c r="D21" s="9" t="n">
        <v>0</v>
      </c>
      <c r="E21" s="9" t="n">
        <v>7</v>
      </c>
      <c r="F21" s="9">
        <f>IFERROR(MIN(C21,D21)*E21/C21,0)</f>
        <v/>
      </c>
      <c r="G21" s="9" t="n"/>
    </row>
    <row r="22" ht="14.15" customHeight="1">
      <c r="A22" s="7" t="n">
        <v>7</v>
      </c>
      <c r="B22" s="8" t="inlineStr">
        <is>
          <t>Asian commode</t>
        </is>
      </c>
      <c r="C22" s="9" t="n">
        <v>5</v>
      </c>
      <c r="D22" s="9" t="n">
        <v>0</v>
      </c>
      <c r="E22" s="9" t="n">
        <v>7</v>
      </c>
      <c r="F22" s="9">
        <f>IFERROR(MIN(C22,D22)*E22/C22,0)</f>
        <v/>
      </c>
      <c r="G22" s="9" t="n"/>
    </row>
    <row r="23" ht="14.15" customHeight="1">
      <c r="A23" s="7" t="n">
        <v>8</v>
      </c>
      <c r="B23" s="8" t="inlineStr">
        <is>
          <t>Urinal</t>
        </is>
      </c>
      <c r="C23" s="9" t="n">
        <v>2</v>
      </c>
      <c r="D23" s="9" t="n">
        <v>0</v>
      </c>
      <c r="E23" s="9" t="n">
        <v>6</v>
      </c>
      <c r="F23" s="9">
        <f>IFERROR(MIN(C23,D23)*E23/C23,0)</f>
        <v/>
      </c>
      <c r="G23" s="9" t="n"/>
    </row>
    <row r="24" ht="14.15" customHeight="1">
      <c r="A24" s="7" t="n">
        <v>9</v>
      </c>
      <c r="B24" s="8" t="inlineStr">
        <is>
          <t>Shower unit</t>
        </is>
      </c>
      <c r="C24" s="9" t="n">
        <v>5</v>
      </c>
      <c r="D24" s="9" t="n">
        <v>0</v>
      </c>
      <c r="E24" s="9" t="n">
        <v>6</v>
      </c>
      <c r="F24" s="9">
        <f>IFERROR(MIN(C24,D24)*E24/C24,0)</f>
        <v/>
      </c>
      <c r="G24" s="9" t="n"/>
    </row>
    <row r="25" ht="14.15" customHeight="1">
      <c r="A25" s="7" t="n">
        <v>10</v>
      </c>
      <c r="B25" s="8" t="inlineStr">
        <is>
          <t>Bath tub</t>
        </is>
      </c>
      <c r="C25" s="9" t="n">
        <v>1</v>
      </c>
      <c r="D25" s="9" t="n">
        <v>0</v>
      </c>
      <c r="E25" s="9" t="n">
        <v>5</v>
      </c>
      <c r="F25" s="9">
        <f>IFERROR(MIN(C25,D25)*E25/C25,0)</f>
        <v/>
      </c>
      <c r="G25" s="9" t="n"/>
    </row>
    <row r="26" ht="14.15" customHeight="1">
      <c r="A26" s="7" t="n">
        <v>11</v>
      </c>
      <c r="B26" s="8" t="inlineStr">
        <is>
          <t>Geyser</t>
        </is>
      </c>
      <c r="C26" s="9" t="n">
        <v>2</v>
      </c>
      <c r="D26" s="9" t="n">
        <v>0</v>
      </c>
      <c r="E26" s="9" t="n">
        <v>5</v>
      </c>
      <c r="F26" s="9">
        <f>IFERROR(MIN(C26,D26)*E26/C26,0)</f>
        <v/>
      </c>
      <c r="G26" s="9" t="n"/>
    </row>
    <row r="27" ht="14.15" customHeight="1">
      <c r="A27" s="7" t="n">
        <v>12</v>
      </c>
      <c r="B27" s="8" t="inlineStr">
        <is>
          <t>Hot and cold-water mixer tap</t>
        </is>
      </c>
      <c r="C27" s="9" t="n">
        <v>5</v>
      </c>
      <c r="D27" s="9" t="n">
        <v>0</v>
      </c>
      <c r="E27" s="9" t="n">
        <v>5</v>
      </c>
      <c r="F27" s="9">
        <f>IFERROR(MIN(C27,D27)*E27/C27,0)</f>
        <v/>
      </c>
      <c r="G27" s="9" t="n"/>
    </row>
    <row r="28" ht="14.15" customHeight="1">
      <c r="A28" s="7" t="n">
        <v>13</v>
      </c>
      <c r="B28" s="8" t="inlineStr">
        <is>
          <t>Pipe vice (with stand/ work table)</t>
        </is>
      </c>
      <c r="C28" s="9" t="n">
        <v>16</v>
      </c>
      <c r="D28" s="9" t="n">
        <v>0</v>
      </c>
      <c r="E28" s="9" t="n">
        <v>8</v>
      </c>
      <c r="F28" s="9">
        <f>IFERROR(MIN(C28,D28)*E28/C28,0)</f>
        <v/>
      </c>
      <c r="G28" s="9" t="n"/>
    </row>
    <row r="29" ht="14.15" customHeight="1">
      <c r="A29" s="7" t="n">
        <v>14</v>
      </c>
      <c r="B29" s="8" t="inlineStr">
        <is>
          <t>Pipe threading machine</t>
        </is>
      </c>
      <c r="C29" s="9" t="n">
        <v>1</v>
      </c>
      <c r="D29" s="9" t="n">
        <v>0</v>
      </c>
      <c r="E29" s="9" t="n">
        <v>8</v>
      </c>
      <c r="F29" s="9">
        <f>IFERROR(MIN(C29,D29)*E29/C29,0)</f>
        <v/>
      </c>
      <c r="G29" s="9" t="n"/>
    </row>
    <row r="30" ht="14.15" customHeight="1">
      <c r="A30" s="7" t="n">
        <v>15</v>
      </c>
      <c r="B30" s="8" t="inlineStr">
        <is>
          <t>Thread cutter</t>
        </is>
      </c>
      <c r="C30" s="9" t="n">
        <v>16</v>
      </c>
      <c r="D30" s="9" t="n">
        <v>0</v>
      </c>
      <c r="E30" s="9" t="n">
        <v>7</v>
      </c>
      <c r="F30" s="9">
        <f>IFERROR(MIN(C30,D30)*E30/C30,0)</f>
        <v/>
      </c>
      <c r="G30" s="9" t="n"/>
    </row>
    <row r="31" ht="14.15" customHeight="1">
      <c r="A31" s="7" t="n">
        <v>16</v>
      </c>
      <c r="B31" s="8" t="inlineStr">
        <is>
          <t>Angle grinder</t>
        </is>
      </c>
      <c r="C31" s="9" t="n">
        <v>10</v>
      </c>
      <c r="D31" s="9" t="n">
        <v>0</v>
      </c>
      <c r="E31" s="9" t="n">
        <v>6</v>
      </c>
      <c r="F31" s="9">
        <f>IFERROR(MIN(C31,D31)*E31/C31,0)</f>
        <v/>
      </c>
      <c r="G31" s="9" t="n"/>
    </row>
    <row r="32" ht="14.15" customHeight="1">
      <c r="A32" s="7" t="n">
        <v>17</v>
      </c>
      <c r="B32" s="8" t="inlineStr">
        <is>
          <t>Pedestal grinder</t>
        </is>
      </c>
      <c r="C32" s="9" t="n">
        <v>2</v>
      </c>
      <c r="D32" s="9" t="n">
        <v>0</v>
      </c>
      <c r="E32" s="9" t="n">
        <v>6</v>
      </c>
      <c r="F32" s="9">
        <f>IFERROR(MIN(C32,D32)*E32/C32,0)</f>
        <v/>
      </c>
      <c r="G32" s="9" t="n"/>
    </row>
    <row r="33" ht="14.15" customHeight="1">
      <c r="A33" s="7" t="n">
        <v>18</v>
      </c>
      <c r="B33" s="8" t="inlineStr">
        <is>
          <t>Hammer drill machine</t>
        </is>
      </c>
      <c r="C33" s="9" t="n">
        <v>5</v>
      </c>
      <c r="D33" s="9" t="n">
        <v>0</v>
      </c>
      <c r="E33" s="9" t="n">
        <v>6</v>
      </c>
      <c r="F33" s="9">
        <f>IFERROR(MIN(C33,D33)*E33/C33,0)</f>
        <v/>
      </c>
      <c r="G33" s="9" t="n"/>
    </row>
    <row r="34" ht="14.15" customHeight="1">
      <c r="A34" s="7" t="n">
        <v>19</v>
      </c>
      <c r="B34" s="8" t="inlineStr">
        <is>
          <t>PPR welding machine</t>
        </is>
      </c>
      <c r="C34" s="9" t="n">
        <v>5</v>
      </c>
      <c r="D34" s="9" t="n">
        <v>0</v>
      </c>
      <c r="E34" s="9" t="n">
        <v>8</v>
      </c>
      <c r="F34" s="9">
        <f>IFERROR(MIN(C34,D34)*E34/C34,0)</f>
        <v/>
      </c>
      <c r="G34" s="9" t="n"/>
    </row>
    <row r="35" ht="14.15" customHeight="1">
      <c r="A35" s="7" t="n">
        <v>20</v>
      </c>
      <c r="B35" s="8" t="inlineStr">
        <is>
          <t>Core cutting machine</t>
        </is>
      </c>
      <c r="C35" s="9" t="n">
        <v>1</v>
      </c>
      <c r="D35" s="9" t="n">
        <v>0</v>
      </c>
      <c r="E35" s="9" t="n">
        <v>7</v>
      </c>
      <c r="F35" s="9">
        <f>IFERROR(MIN(C35,D35)*E35/C35,0)</f>
        <v/>
      </c>
      <c r="G35" s="9" t="n"/>
    </row>
    <row r="36" ht="14.15" customHeight="1">
      <c r="A36" s="7" t="n">
        <v>21</v>
      </c>
      <c r="B36" s="8" t="inlineStr">
        <is>
          <t>Plastic septic tank</t>
        </is>
      </c>
      <c r="C36" s="9" t="n">
        <v>1</v>
      </c>
      <c r="D36" s="9" t="n">
        <v>0</v>
      </c>
      <c r="E36" s="9" t="n">
        <v>5</v>
      </c>
      <c r="F36" s="9">
        <f>IFERROR(MIN(C36,D36)*E36/C36,0)</f>
        <v/>
      </c>
      <c r="G36" s="9" t="n"/>
    </row>
    <row r="37" ht="14.15" customHeight="1">
      <c r="A37" s="7" t="n">
        <v>22</v>
      </c>
      <c r="B37" s="8" t="inlineStr">
        <is>
          <t>Water pump</t>
        </is>
      </c>
      <c r="C37" s="9" t="n">
        <v>5</v>
      </c>
      <c r="D37" s="9" t="n">
        <v>0</v>
      </c>
      <c r="E37" s="9" t="n">
        <v>6</v>
      </c>
      <c r="F37" s="9">
        <f>IFERROR(MIN(C37,D37)*E37/C37,0)</f>
        <v/>
      </c>
      <c r="G37" s="9" t="n"/>
    </row>
    <row r="38" ht="14.15" customHeight="1">
      <c r="A38" s="7" t="n">
        <v>23</v>
      </c>
      <c r="B38" s="8" t="inlineStr">
        <is>
          <t>Overhead water Tank</t>
        </is>
      </c>
      <c r="C38" s="9" t="n">
        <v>1</v>
      </c>
      <c r="D38" s="9" t="n">
        <v>0</v>
      </c>
      <c r="E38" s="9" t="n">
        <v>5</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Refrigeration and Air Conditioning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Refrigeration and Air Conditioning</t>
        </is>
      </c>
      <c r="C8" s="4" t="inlineStr">
        <is>
          <t xml:space="preserve">Classroom		: 350 sft 
Workshop/Lab	: 800-1000 sft </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Refrigeration and Air Conditioning,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Split Type AC (1 Inverter type and 4 non-inverter type)</t>
        </is>
      </c>
      <c r="C16" s="9" t="n">
        <v>5</v>
      </c>
      <c r="D16" s="9" t="n">
        <v>0</v>
      </c>
      <c r="E16" s="9" t="n">
        <v>10</v>
      </c>
      <c r="F16" s="9">
        <f>IFERROR(MIN(C16,D16)*E16/C16,0)</f>
        <v/>
      </c>
      <c r="G16" s="9" t="n"/>
    </row>
    <row r="17" ht="14.15" customHeight="1">
      <c r="A17" s="7" t="n">
        <v>2</v>
      </c>
      <c r="B17" s="8" t="inlineStr">
        <is>
          <t>Window Type AC</t>
        </is>
      </c>
      <c r="C17" s="9" t="n">
        <v>2</v>
      </c>
      <c r="D17" s="9" t="n">
        <v>0</v>
      </c>
      <c r="E17" s="9" t="n">
        <v>9</v>
      </c>
      <c r="F17" s="9">
        <f>IFERROR(MIN(C17,D17)*E17/C17,0)</f>
        <v/>
      </c>
      <c r="G17" s="9" t="n"/>
    </row>
    <row r="18" ht="14.15" customHeight="1">
      <c r="A18" s="7" t="n">
        <v>3</v>
      </c>
      <c r="B18" s="8" t="inlineStr">
        <is>
          <t>Cassette Type AC</t>
        </is>
      </c>
      <c r="C18" s="9" t="n">
        <v>1</v>
      </c>
      <c r="D18" s="9" t="n">
        <v>0</v>
      </c>
      <c r="E18" s="9" t="n">
        <v>8</v>
      </c>
      <c r="F18" s="9">
        <f>IFERROR(MIN(C18,D18)*E18/C18,0)</f>
        <v/>
      </c>
      <c r="G18" s="9" t="n"/>
    </row>
    <row r="19" ht="14.15" customHeight="1">
      <c r="A19" s="7" t="n">
        <v>4</v>
      </c>
      <c r="B19" s="8" t="inlineStr">
        <is>
          <t>Vacuum Pumps</t>
        </is>
      </c>
      <c r="C19" s="9" t="n">
        <v>5</v>
      </c>
      <c r="D19" s="9" t="n">
        <v>0</v>
      </c>
      <c r="E19" s="9" t="n">
        <v>8</v>
      </c>
      <c r="F19" s="9">
        <f>IFERROR(MIN(C19,D19)*E19/C19,0)</f>
        <v/>
      </c>
      <c r="G19" s="9" t="n"/>
    </row>
    <row r="20" ht="14.15" customHeight="1">
      <c r="A20" s="7" t="n">
        <v>5</v>
      </c>
      <c r="B20" s="8" t="inlineStr">
        <is>
          <t>Swaging Tools set</t>
        </is>
      </c>
      <c r="C20" s="9" t="n">
        <v>5</v>
      </c>
      <c r="D20" s="9" t="n">
        <v>0</v>
      </c>
      <c r="E20" s="9" t="n">
        <v>7</v>
      </c>
      <c r="F20" s="9">
        <f>IFERROR(MIN(C20,D20)*E20/C20,0)</f>
        <v/>
      </c>
      <c r="G20" s="9" t="n"/>
    </row>
    <row r="21" ht="14.15" customHeight="1">
      <c r="A21" s="7" t="n">
        <v>6</v>
      </c>
      <c r="B21" s="8" t="inlineStr">
        <is>
          <t>Refrigeration Model</t>
        </is>
      </c>
      <c r="C21" s="9" t="n">
        <v>2</v>
      </c>
      <c r="D21" s="9" t="n">
        <v>0</v>
      </c>
      <c r="E21" s="9" t="n">
        <v>8</v>
      </c>
      <c r="F21" s="9">
        <f>IFERROR(MIN(C21,D21)*E21/C21,0)</f>
        <v/>
      </c>
      <c r="G21" s="9" t="n"/>
    </row>
    <row r="22" ht="14.15" customHeight="1">
      <c r="A22" s="7" t="n">
        <v>7</v>
      </c>
      <c r="B22" s="8" t="inlineStr">
        <is>
          <t>Flaring Tools set</t>
        </is>
      </c>
      <c r="C22" s="9" t="n">
        <v>5</v>
      </c>
      <c r="D22" s="9" t="n">
        <v>0</v>
      </c>
      <c r="E22" s="9" t="n">
        <v>7</v>
      </c>
      <c r="F22" s="9">
        <f>IFERROR(MIN(C22,D22)*E22/C22,0)</f>
        <v/>
      </c>
      <c r="G22" s="9" t="n"/>
    </row>
    <row r="23" ht="14.15" customHeight="1">
      <c r="A23" s="7" t="n">
        <v>8</v>
      </c>
      <c r="B23" s="8" t="inlineStr">
        <is>
          <t>Gas welding Set and its accessories (Cylinder with O2 and acetylene gas)</t>
        </is>
      </c>
      <c r="C23" s="9" t="n">
        <v>1</v>
      </c>
      <c r="D23" s="9" t="n">
        <v>0</v>
      </c>
      <c r="E23" s="9" t="n">
        <v>6</v>
      </c>
      <c r="F23" s="9">
        <f>IFERROR(MIN(C23,D23)*E23/C23,0)</f>
        <v/>
      </c>
      <c r="G23" s="9" t="n"/>
    </row>
    <row r="24" ht="14.15" customHeight="1">
      <c r="A24" s="7" t="n">
        <v>9</v>
      </c>
      <c r="B24" s="8" t="inlineStr">
        <is>
          <t>Working Table</t>
        </is>
      </c>
      <c r="C24" s="9" t="n">
        <v>5</v>
      </c>
      <c r="D24" s="9" t="n">
        <v>0</v>
      </c>
      <c r="E24" s="9" t="n">
        <v>5</v>
      </c>
      <c r="F24" s="9">
        <f>IFERROR(MIN(C24,D24)*E24/C24,0)</f>
        <v/>
      </c>
      <c r="G24" s="9" t="n"/>
    </row>
    <row r="25" ht="14.15" customHeight="1">
      <c r="A25" s="7" t="n">
        <v>10</v>
      </c>
      <c r="B25" s="8" t="inlineStr">
        <is>
          <t>Leak detectors</t>
        </is>
      </c>
      <c r="C25" s="9" t="n">
        <v>2</v>
      </c>
      <c r="D25" s="9" t="n">
        <v>0</v>
      </c>
      <c r="E25" s="9" t="n">
        <v>6</v>
      </c>
      <c r="F25" s="9">
        <f>IFERROR(MIN(C25,D25)*E25/C25,0)</f>
        <v/>
      </c>
      <c r="G25" s="9" t="n"/>
    </row>
    <row r="26" ht="14.15" customHeight="1">
      <c r="A26" s="7" t="n">
        <v>11</v>
      </c>
      <c r="B26" s="8" t="inlineStr">
        <is>
          <t>Freeze (Frost)</t>
        </is>
      </c>
      <c r="C26" s="9" t="n">
        <v>5</v>
      </c>
      <c r="D26" s="9" t="n">
        <v>0</v>
      </c>
      <c r="E26" s="9" t="n">
        <v>8</v>
      </c>
      <c r="F26" s="9">
        <f>IFERROR(MIN(C26,D26)*E26/C26,0)</f>
        <v/>
      </c>
      <c r="G26" s="9" t="n"/>
    </row>
    <row r="27" ht="14.15" customHeight="1">
      <c r="A27" s="7" t="n">
        <v>12</v>
      </c>
      <c r="B27" s="8" t="inlineStr">
        <is>
          <t>Freeze (Non-Frost)</t>
        </is>
      </c>
      <c r="C27" s="9" t="n">
        <v>2</v>
      </c>
      <c r="D27" s="9" t="n">
        <v>0</v>
      </c>
      <c r="E27" s="9" t="n">
        <v>8</v>
      </c>
      <c r="F27" s="9">
        <f>IFERROR(MIN(C27,D27)*E27/C27,0)</f>
        <v/>
      </c>
      <c r="G27" s="9" t="n"/>
    </row>
    <row r="28" ht="14.15" customHeight="1">
      <c r="A28" s="7" t="n">
        <v>13</v>
      </c>
      <c r="B28" s="8" t="inlineStr">
        <is>
          <t>Hand Grinder</t>
        </is>
      </c>
      <c r="C28" s="9" t="n">
        <v>2</v>
      </c>
      <c r="D28" s="9" t="n">
        <v>0</v>
      </c>
      <c r="E28" s="9" t="n">
        <v>4</v>
      </c>
      <c r="F28" s="9">
        <f>IFERROR(MIN(C28,D28)*E28/C28,0)</f>
        <v/>
      </c>
      <c r="G28" s="9" t="n"/>
    </row>
    <row r="29" ht="14.15" customHeight="1">
      <c r="A29" s="7" t="n">
        <v>14</v>
      </c>
      <c r="B29" s="8" t="inlineStr">
        <is>
          <t>Cylinder with Nitrogen gas</t>
        </is>
      </c>
      <c r="C29" s="9" t="n">
        <v>2</v>
      </c>
      <c r="D29" s="9" t="n">
        <v>0</v>
      </c>
      <c r="E29" s="9" t="n">
        <v>5</v>
      </c>
      <c r="F29" s="9">
        <f>IFERROR(MIN(C29,D29)*E29/C29,0)</f>
        <v/>
      </c>
      <c r="G29" s="9" t="n"/>
    </row>
    <row r="30" ht="14.15" customHeight="1">
      <c r="A30" s="7" t="n">
        <v>15</v>
      </c>
      <c r="B30" s="8" t="inlineStr">
        <is>
          <t>Electric Hand Drill Machine</t>
        </is>
      </c>
      <c r="C30" s="9" t="n">
        <v>2</v>
      </c>
      <c r="D30" s="9" t="n">
        <v>0</v>
      </c>
      <c r="E30" s="9" t="n">
        <v>4</v>
      </c>
      <c r="F30" s="9">
        <f>IFERROR(MIN(C30,D30)*E30/C30,0)</f>
        <v/>
      </c>
      <c r="G30" s="9" t="n"/>
    </row>
    <row r="31" ht="14.15" customHeight="1">
      <c r="A31" s="7" t="n">
        <v>16</v>
      </c>
      <c r="B31" s="8" t="inlineStr">
        <is>
          <t>Hammer Drill Machine</t>
        </is>
      </c>
      <c r="C31" s="9" t="n">
        <v>2</v>
      </c>
      <c r="D31" s="9" t="n">
        <v>0</v>
      </c>
      <c r="E31" s="9" t="n">
        <v>4</v>
      </c>
      <c r="F31" s="9">
        <f>IFERROR(MIN(C31,D31)*E31/C31,0)</f>
        <v/>
      </c>
      <c r="G31" s="9" t="n"/>
    </row>
    <row r="32" ht="14.15" customHeight="1">
      <c r="A32" s="7" t="n">
        <v>17</v>
      </c>
      <c r="B32" s="8" t="inlineStr">
        <is>
          <t>Refrigerant Recovery Machine</t>
        </is>
      </c>
      <c r="C32" s="9" t="n">
        <v>2</v>
      </c>
      <c r="D32" s="9" t="n">
        <v>0</v>
      </c>
      <c r="E32" s="9" t="n">
        <v>7</v>
      </c>
      <c r="F32" s="9">
        <f>IFERROR(MIN(C32,D32)*E32/C32,0)</f>
        <v/>
      </c>
      <c r="G32" s="9" t="n"/>
    </row>
    <row r="33" ht="14.15" customHeight="1">
      <c r="A33" s="7" t="n">
        <v>18</v>
      </c>
      <c r="B33" s="8" t="inlineStr">
        <is>
          <t>Refrigerant Recovery Cylinder</t>
        </is>
      </c>
      <c r="C33" s="9" t="n">
        <v>2</v>
      </c>
      <c r="D33" s="9" t="n">
        <v>0</v>
      </c>
      <c r="E33" s="9" t="n">
        <v>5</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Design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Design</t>
        </is>
      </c>
      <c r="C8" s="4" t="inlineStr">
        <is>
          <t>Classroom cum workshop – 500 - 600 sft (50-55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Laptop/ Desktop (Minimum Intel core i5-i3 6 gen or AMD Ryzen 5), Ram: minimum 8 - 16 GB, Graphic Card: dedicated GPU 2GB, High Speed Internet (Minimum 10 Mbps), Graphic Design Software 
(Photoshop CC, Illustrator CC, CorelDraw)</t>
        </is>
      </c>
      <c r="C16" s="9" t="n">
        <v>26</v>
      </c>
      <c r="D16" s="9" t="n">
        <v>0</v>
      </c>
      <c r="E16" s="9" t="n">
        <v>10</v>
      </c>
      <c r="F16" s="9">
        <f>IFERROR(MIN(C16,D16)*E16/C16,0)</f>
        <v/>
      </c>
      <c r="G16" s="9" t="n"/>
    </row>
    <row r="17" ht="14.15" customHeight="1">
      <c r="A17" s="7" t="n">
        <v>2</v>
      </c>
      <c r="B17" s="8" t="inlineStr">
        <is>
          <t>Power Backup (at least 01 hour)</t>
        </is>
      </c>
      <c r="C17" s="9" t="n">
        <v>26</v>
      </c>
      <c r="D17" s="9" t="n">
        <v>0</v>
      </c>
      <c r="E17" s="9" t="n">
        <v>6</v>
      </c>
      <c r="F17" s="9">
        <f>IFERROR(MIN(C17,D17)*E17/C17,0)</f>
        <v/>
      </c>
      <c r="G17" s="9" t="n"/>
    </row>
    <row r="18" ht="14.15" customHeight="1">
      <c r="A18" s="7" t="n">
        <v>3</v>
      </c>
      <c r="B18" s="8" t="inlineStr">
        <is>
          <t>Color Printer</t>
        </is>
      </c>
      <c r="C18" s="9" t="n">
        <v>1</v>
      </c>
      <c r="D18" s="9" t="n">
        <v>0</v>
      </c>
      <c r="E18" s="9" t="n">
        <v>5</v>
      </c>
      <c r="F18" s="9">
        <f>IFERROR(MIN(C18,D18)*E18/C18,0)</f>
        <v/>
      </c>
      <c r="G18" s="9" t="n"/>
    </row>
    <row r="19" ht="14.15" customHeight="1">
      <c r="A19" s="7" t="n">
        <v>4</v>
      </c>
      <c r="B19" s="8" t="inlineStr">
        <is>
          <t>Scanner</t>
        </is>
      </c>
      <c r="C19" s="9" t="n">
        <v>1</v>
      </c>
      <c r="D19" s="9" t="n">
        <v>0</v>
      </c>
      <c r="E19" s="9" t="n">
        <v>4</v>
      </c>
      <c r="F19" s="9">
        <f>IFERROR(MIN(C19,D19)*E19/C19,0)</f>
        <v/>
      </c>
      <c r="G19" s="9" t="n"/>
    </row>
    <row r="20" ht="14.15" customHeight="1">
      <c r="A20" s="7" t="n">
        <v>5</v>
      </c>
      <c r="B20" s="8" t="inlineStr">
        <is>
          <t>Projector or Large Display Screen</t>
        </is>
      </c>
      <c r="C20" s="9" t="n">
        <v>1</v>
      </c>
      <c r="D20" s="9" t="n">
        <v>0</v>
      </c>
      <c r="E20" s="9" t="n">
        <v>8</v>
      </c>
      <c r="F20" s="9">
        <f>IFERROR(MIN(C20,D20)*E20/C20,0)</f>
        <v/>
      </c>
      <c r="G20" s="9" t="n"/>
    </row>
    <row r="21" ht="14.15" customHeight="1">
      <c r="A21" s="7" t="n">
        <v>6</v>
      </c>
      <c r="B21" s="8" t="inlineStr">
        <is>
          <t>White board</t>
        </is>
      </c>
      <c r="C21" s="9" t="n">
        <v>1</v>
      </c>
      <c r="D21" s="9" t="n">
        <v>0</v>
      </c>
      <c r="E21" s="9" t="n">
        <v>4</v>
      </c>
      <c r="F21" s="9">
        <f>IFERROR(MIN(C21,D21)*E21/C21,0)</f>
        <v/>
      </c>
      <c r="G21" s="9" t="n"/>
    </row>
    <row r="22" ht="14.15" customHeight="1">
      <c r="A22" s="7" t="n">
        <v>7</v>
      </c>
      <c r="B22" s="8" t="inlineStr">
        <is>
          <t>Sound speaker and microphone</t>
        </is>
      </c>
      <c r="C22" s="9" t="n">
        <v>1</v>
      </c>
      <c r="D22" s="9" t="n">
        <v>0</v>
      </c>
      <c r="E22" s="9" t="n">
        <v>4</v>
      </c>
      <c r="F22" s="9">
        <f>IFERROR(MIN(C22,D22)*E22/C22,0)</f>
        <v/>
      </c>
      <c r="G22" s="9" t="n"/>
    </row>
    <row r="23" ht="14.15" customHeight="1">
      <c r="A23" s="7" t="n">
        <v>8</v>
      </c>
      <c r="B23" s="8" t="inlineStr">
        <is>
          <t>Air-conditioning (suited with workshop lab size)</t>
        </is>
      </c>
      <c r="C23" s="9" t="n">
        <v>1</v>
      </c>
      <c r="D23" s="9" t="n">
        <v>0</v>
      </c>
      <c r="E23" s="9" t="n">
        <v>5</v>
      </c>
      <c r="F23" s="9">
        <f>IFERROR(MIN(C23,D23)*E23/C23,0)</f>
        <v/>
      </c>
      <c r="G23" s="9" t="n"/>
    </row>
    <row r="24" ht="14.15" customHeight="1">
      <c r="A24" s="7" t="n">
        <v>9</v>
      </c>
      <c r="B24" s="8" t="inlineStr">
        <is>
          <t>Ergonomic chairs and desks (Plastic chairs/stool not acceptable)</t>
        </is>
      </c>
      <c r="C24" s="9" t="n">
        <v>26</v>
      </c>
      <c r="D24" s="9" t="n">
        <v>0</v>
      </c>
      <c r="E24" s="9" t="n">
        <v>3</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IT Freelancing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IT Freelancing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IT Freelancing,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7</v>
      </c>
      <c r="F16" s="9">
        <f>IFERROR(MIN(C16,D16)*E16/C16,0)</f>
        <v/>
      </c>
      <c r="G16" s="9" t="n"/>
    </row>
    <row r="17" ht="14.15" customHeight="1">
      <c r="A17" s="7" t="n">
        <v>2</v>
      </c>
      <c r="B17" s="8" t="inlineStr">
        <is>
          <t>Printer</t>
        </is>
      </c>
      <c r="C17" s="9" t="n">
        <v>1</v>
      </c>
      <c r="D17" s="9" t="n">
        <v>0</v>
      </c>
      <c r="E17" s="9" t="n">
        <v>4</v>
      </c>
      <c r="F17" s="9">
        <f>IFERROR(MIN(C17,D17)*E17/C17,0)</f>
        <v/>
      </c>
      <c r="G17" s="9" t="n"/>
    </row>
    <row r="18" ht="14.15" customHeight="1">
      <c r="A18" s="7" t="n">
        <v>3</v>
      </c>
      <c r="B18" s="8" t="inlineStr">
        <is>
          <t>Scanner</t>
        </is>
      </c>
      <c r="C18" s="9" t="n">
        <v>1</v>
      </c>
      <c r="D18" s="9" t="n">
        <v>0</v>
      </c>
      <c r="E18" s="9" t="n">
        <v>4</v>
      </c>
      <c r="F18" s="9">
        <f>IFERROR(MIN(C18,D18)*E18/C18,0)</f>
        <v/>
      </c>
      <c r="G18" s="9" t="n"/>
    </row>
    <row r="19" ht="14.15" customHeight="1">
      <c r="A19" s="7" t="n">
        <v>4</v>
      </c>
      <c r="B19" s="8" t="inlineStr">
        <is>
          <t>Computers/Laptop: 
(Minimum Intel Core i5 processor (8th Gen), 8GB RAM (16GB preferred), 500GB SSD storage (1TB preferred), High-resolution monitors (19/20-inch minimum, with color accuracy).</t>
        </is>
      </c>
      <c r="C19" s="9" t="n">
        <v>25</v>
      </c>
      <c r="D19" s="9" t="n">
        <v>0</v>
      </c>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v>0</v>
      </c>
      <c r="E20" s="9" t="n">
        <v>8</v>
      </c>
      <c r="F20" s="9">
        <f>IFERROR(MIN(C20,D20)*E20/C20,0)</f>
        <v/>
      </c>
      <c r="G20" s="9" t="n"/>
    </row>
    <row r="21" ht="14.15" customHeight="1">
      <c r="A21" s="7" t="n">
        <v>6</v>
      </c>
      <c r="B21" s="8" t="inlineStr">
        <is>
          <t>Tools: 
Office application, photo editing software and video editing software</t>
        </is>
      </c>
      <c r="C21" s="9" t="n">
        <v>6</v>
      </c>
      <c r="D21" s="9" t="n">
        <v>0</v>
      </c>
      <c r="E21" s="9" t="n">
        <v>8</v>
      </c>
      <c r="F21" s="9">
        <f>IFERROR(MIN(C21,D21)*E21/C21,0)</f>
        <v/>
      </c>
      <c r="G21" s="9" t="n"/>
    </row>
    <row r="22" ht="14.15" customHeight="1">
      <c r="A22" s="7" t="n">
        <v>7</v>
      </c>
      <c r="B22" s="8" t="inlineStr">
        <is>
          <t>Ergonomic chairs and desks</t>
        </is>
      </c>
      <c r="C22" s="9" t="n">
        <v>25</v>
      </c>
      <c r="D22" s="9" t="n">
        <v>0</v>
      </c>
      <c r="E22" s="9" t="n">
        <v>3</v>
      </c>
      <c r="F22" s="9">
        <f>IFERROR(MIN(C22,D22)*E22/C22,0)</f>
        <v/>
      </c>
      <c r="G22" s="9" t="n"/>
    </row>
    <row r="23" ht="14.15" customHeight="1">
      <c r="A23" s="7" t="n">
        <v>8</v>
      </c>
      <c r="B23" s="8" t="inlineStr">
        <is>
          <t>Internet connectivity with power back-up</t>
        </is>
      </c>
      <c r="C23" s="9" t="n">
        <v>1</v>
      </c>
      <c r="D23" s="9" t="n">
        <v>0</v>
      </c>
      <c r="E23" s="9" t="n">
        <v>8</v>
      </c>
      <c r="F23" s="9">
        <f>IFERROR(MIN(C23,D23)*E23/C23,0)</f>
        <v/>
      </c>
      <c r="G23" s="9" t="n"/>
    </row>
    <row r="24">
      <c r="A24" s="10" t="inlineStr">
        <is>
          <t>Sum</t>
        </is>
      </c>
      <c r="B24" s="11" t="n"/>
      <c r="C24" s="11" t="n"/>
      <c r="D24" s="12" t="n"/>
      <c r="E24" s="10">
        <f>SUM(E16:E23)</f>
        <v/>
      </c>
      <c r="F24" s="10">
        <f>SUM(F16:F23)</f>
        <v/>
      </c>
      <c r="G24" s="13" t="n"/>
    </row>
    <row r="25">
      <c r="A25" s="10" t="inlineStr">
        <is>
          <t>Score out of 100</t>
        </is>
      </c>
      <c r="B25" s="11" t="n"/>
      <c r="C25" s="11" t="n"/>
      <c r="D25" s="11" t="n"/>
      <c r="E25" s="12" t="n"/>
      <c r="F25" s="10">
        <f>F24/E24*100</f>
        <v/>
      </c>
      <c r="G25" s="13" t="n"/>
    </row>
    <row r="26" ht="9.75" customHeight="1"/>
    <row r="27">
      <c r="A27" s="10" t="inlineStr">
        <is>
          <t xml:space="preserve">Total achieved points out of 30  </t>
        </is>
      </c>
      <c r="B27" s="11" t="n"/>
      <c r="C27" s="11" t="n"/>
      <c r="D27" s="11" t="n"/>
      <c r="E27" s="12" t="n"/>
      <c r="F27" s="10">
        <f>F25*30/100</f>
        <v/>
      </c>
      <c r="G27" s="10" t="inlineStr">
        <is>
          <t>Points</t>
        </is>
      </c>
    </row>
  </sheetData>
  <mergeCells count="8">
    <mergeCell ref="A13:G13"/>
    <mergeCell ref="C7:G7"/>
    <mergeCell ref="A1:G1"/>
    <mergeCell ref="A25:E25"/>
    <mergeCell ref="A26:G26"/>
    <mergeCell ref="A24:D24"/>
    <mergeCell ref="C8:G8"/>
    <mergeCell ref="A27:E2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Mobile Phone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Mobile Phone Servicing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Mobile Phone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 Laptop with software</t>
        </is>
      </c>
      <c r="C16" s="9" t="n">
        <v>5</v>
      </c>
      <c r="D16" s="9" t="n">
        <v>0</v>
      </c>
      <c r="E16" s="9" t="n">
        <v>8</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Working Station</t>
        </is>
      </c>
      <c r="C18" s="9" t="n">
        <v>25</v>
      </c>
      <c r="D18" s="9" t="n">
        <v>0</v>
      </c>
      <c r="E18" s="9" t="n">
        <v>5</v>
      </c>
      <c r="F18" s="9">
        <f>IFERROR(MIN(C18,D18)*E18/C18,0)</f>
        <v/>
      </c>
      <c r="G18" s="9" t="n"/>
    </row>
    <row r="19" ht="14.15" customHeight="1">
      <c r="A19" s="7" t="n">
        <v>4</v>
      </c>
      <c r="B19" s="8" t="inlineStr">
        <is>
          <t>Hot Air Rework Stations</t>
        </is>
      </c>
      <c r="C19" s="9" t="n">
        <v>25</v>
      </c>
      <c r="D19" s="9" t="n">
        <v>0</v>
      </c>
      <c r="E19" s="9" t="n">
        <v>9</v>
      </c>
      <c r="F19" s="9">
        <f>IFERROR(MIN(C19,D19)*E19/C19,0)</f>
        <v/>
      </c>
      <c r="G19" s="9" t="n"/>
    </row>
    <row r="20" ht="14.15" customHeight="1">
      <c r="A20" s="7" t="n">
        <v>5</v>
      </c>
      <c r="B20" s="8" t="inlineStr">
        <is>
          <t>Soldering Stations</t>
        </is>
      </c>
      <c r="C20" s="9" t="n">
        <v>25</v>
      </c>
      <c r="D20" s="9" t="n">
        <v>0</v>
      </c>
      <c r="E20" s="9" t="n">
        <v>9</v>
      </c>
      <c r="F20" s="9">
        <f>IFERROR(MIN(C20,D20)*E20/C20,0)</f>
        <v/>
      </c>
      <c r="G20" s="9" t="n"/>
    </row>
    <row r="21" ht="14.15" customHeight="1">
      <c r="A21" s="7" t="n">
        <v>6</v>
      </c>
      <c r="B21" s="8" t="inlineStr">
        <is>
          <t>Soldering Irons</t>
        </is>
      </c>
      <c r="C21" s="9" t="n">
        <v>25</v>
      </c>
      <c r="D21" s="9" t="n">
        <v>0</v>
      </c>
      <c r="E21" s="9" t="n">
        <v>8</v>
      </c>
      <c r="F21" s="9">
        <f>IFERROR(MIN(C21,D21)*E21/C21,0)</f>
        <v/>
      </c>
      <c r="G21" s="9" t="n"/>
    </row>
    <row r="22" ht="14.15" customHeight="1">
      <c r="A22" s="7" t="n">
        <v>7</v>
      </c>
      <c r="B22" s="8" t="inlineStr">
        <is>
          <t>Multimeters</t>
        </is>
      </c>
      <c r="C22" s="9" t="n">
        <v>25</v>
      </c>
      <c r="D22" s="9" t="n">
        <v>0</v>
      </c>
      <c r="E22" s="9" t="n">
        <v>8</v>
      </c>
      <c r="F22" s="9">
        <f>IFERROR(MIN(C22,D22)*E22/C22,0)</f>
        <v/>
      </c>
      <c r="G22" s="9" t="n"/>
    </row>
    <row r="23" ht="14.15" customHeight="1">
      <c r="A23" s="7" t="n">
        <v>8</v>
      </c>
      <c r="B23" s="8" t="inlineStr">
        <is>
          <t>Power Supply Units</t>
        </is>
      </c>
      <c r="C23" s="9" t="n">
        <v>25</v>
      </c>
      <c r="D23" s="9" t="n">
        <v>0</v>
      </c>
      <c r="E23" s="9" t="n">
        <v>7</v>
      </c>
      <c r="F23" s="9">
        <f>IFERROR(MIN(C23,D23)*E23/C23,0)</f>
        <v/>
      </c>
      <c r="G23" s="9" t="n"/>
    </row>
    <row r="24" ht="14.15" customHeight="1">
      <c r="A24" s="7" t="n">
        <v>9</v>
      </c>
      <c r="B24" s="8" t="inlineStr">
        <is>
          <t>Battery Testers</t>
        </is>
      </c>
      <c r="C24" s="9" t="n">
        <v>5</v>
      </c>
      <c r="D24" s="9" t="n">
        <v>0</v>
      </c>
      <c r="E24" s="9" t="n">
        <v>7</v>
      </c>
      <c r="F24" s="9">
        <f>IFERROR(MIN(C24,D24)*E24/C24,0)</f>
        <v/>
      </c>
      <c r="G24" s="9" t="n"/>
    </row>
    <row r="25" ht="14.15" customHeight="1">
      <c r="A25" s="7" t="n">
        <v>10</v>
      </c>
      <c r="B25" s="8" t="inlineStr">
        <is>
          <t>Screen Testing Jigs (for LCD and touchscreens)</t>
        </is>
      </c>
      <c r="C25" s="9" t="n">
        <v>1</v>
      </c>
      <c r="D25" s="9" t="n">
        <v>0</v>
      </c>
      <c r="E25" s="9" t="n">
        <v>6</v>
      </c>
      <c r="F25" s="9">
        <f>IFERROR(MIN(C25,D25)*E25/C25,0)</f>
        <v/>
      </c>
      <c r="G25" s="9" t="n"/>
    </row>
    <row r="26" ht="14.15" customHeight="1">
      <c r="A26" s="7" t="n">
        <v>11</v>
      </c>
      <c r="B26" s="8" t="inlineStr">
        <is>
          <t>USB Testers (for current and voltage checks)</t>
        </is>
      </c>
      <c r="C26" s="9" t="n">
        <v>5</v>
      </c>
      <c r="D26" s="9" t="n">
        <v>0</v>
      </c>
      <c r="E26" s="9" t="n">
        <v>6</v>
      </c>
      <c r="F26" s="9">
        <f>IFERROR(MIN(C26,D26)*E26/C26,0)</f>
        <v/>
      </c>
      <c r="G26" s="9" t="n"/>
    </row>
    <row r="27" ht="14.15" customHeight="1">
      <c r="A27" s="7" t="n">
        <v>12</v>
      </c>
      <c r="B27" s="8" t="inlineStr">
        <is>
          <t>Screwdrivers Set (Precision set, including Phillips and flathead)</t>
        </is>
      </c>
      <c r="C27" s="9" t="n">
        <v>25</v>
      </c>
      <c r="D27" s="9" t="n">
        <v>0</v>
      </c>
      <c r="E27" s="9" t="n">
        <v>4</v>
      </c>
      <c r="F27" s="9">
        <f>IFERROR(MIN(C27,D27)*E27/C27,0)</f>
        <v/>
      </c>
      <c r="G27" s="9" t="n"/>
    </row>
    <row r="28" ht="14.15" customHeight="1">
      <c r="A28" s="7" t="n">
        <v>13</v>
      </c>
      <c r="B28" s="8" t="inlineStr">
        <is>
          <t>Tweezers (ESD-safe, various sizes)</t>
        </is>
      </c>
      <c r="C28" s="9" t="n">
        <v>25</v>
      </c>
      <c r="D28" s="9" t="n">
        <v>0</v>
      </c>
      <c r="E28" s="9" t="n">
        <v>3</v>
      </c>
      <c r="F28" s="9">
        <f>IFERROR(MIN(C28,D28)*E28/C28,0)</f>
        <v/>
      </c>
      <c r="G28" s="9" t="n"/>
    </row>
    <row r="29" ht="14.15" customHeight="1">
      <c r="A29" s="7" t="n">
        <v>14</v>
      </c>
      <c r="B29" s="8" t="inlineStr">
        <is>
          <t>Opening Tools</t>
        </is>
      </c>
      <c r="C29" s="9" t="n">
        <v>25</v>
      </c>
      <c r="D29" s="9" t="n">
        <v>0</v>
      </c>
      <c r="E29" s="9" t="n">
        <v>4</v>
      </c>
      <c r="F29" s="9">
        <f>IFERROR(MIN(C29,D29)*E29/C29,0)</f>
        <v/>
      </c>
      <c r="G29" s="9" t="n"/>
    </row>
    <row r="30" ht="14.15" customHeight="1">
      <c r="A30" s="7" t="n">
        <v>15</v>
      </c>
      <c r="B30" s="8" t="inlineStr">
        <is>
          <t>SIM Card Ejector Pins</t>
        </is>
      </c>
      <c r="C30" s="9" t="n">
        <v>25</v>
      </c>
      <c r="D30" s="9" t="n">
        <v>0</v>
      </c>
      <c r="E30" s="9" t="n">
        <v>3</v>
      </c>
      <c r="F30" s="9">
        <f>IFERROR(MIN(C30,D30)*E30/C30,0)</f>
        <v/>
      </c>
      <c r="G30" s="9" t="n"/>
    </row>
    <row r="31" ht="14.15" customHeight="1">
      <c r="A31" s="7" t="n">
        <v>16</v>
      </c>
      <c r="B31" s="8" t="inlineStr">
        <is>
          <t>Suction Cups (for screen removal)</t>
        </is>
      </c>
      <c r="C31" s="9" t="n">
        <v>25</v>
      </c>
      <c r="D31" s="9" t="n">
        <v>0</v>
      </c>
      <c r="E31" s="9" t="n">
        <v>3</v>
      </c>
      <c r="F31" s="9">
        <f>IFERROR(MIN(C31,D31)*E31/C31,0)</f>
        <v/>
      </c>
      <c r="G31" s="9" t="n"/>
    </row>
    <row r="32" ht="14.15" customHeight="1">
      <c r="A32" s="7" t="n">
        <v>17</v>
      </c>
      <c r="B32" s="8" t="inlineStr">
        <is>
          <t>Magnifying Glasses with Lamp</t>
        </is>
      </c>
      <c r="C32" s="9" t="n">
        <v>25</v>
      </c>
      <c r="D32" s="9" t="n">
        <v>0</v>
      </c>
      <c r="E32" s="9" t="n">
        <v>5</v>
      </c>
      <c r="F32" s="9">
        <f>IFERROR(MIN(C32,D32)*E32/C32,0)</f>
        <v/>
      </c>
      <c r="G32" s="9" t="n"/>
    </row>
    <row r="33" ht="14.15" customHeight="1">
      <c r="A33" s="7" t="n">
        <v>18</v>
      </c>
      <c r="B33" s="8" t="inlineStr">
        <is>
          <t>Defective Mobile Phone</t>
        </is>
      </c>
      <c r="C33" s="9" t="n">
        <v>15</v>
      </c>
      <c r="D33" s="9" t="n">
        <v>0</v>
      </c>
      <c r="E33" s="9" t="n">
        <v>7</v>
      </c>
      <c r="F33" s="9">
        <f>IFERROR(MIN(C33,D33)*E33/C33,0)</f>
        <v/>
      </c>
      <c r="G33" s="9" t="n"/>
    </row>
    <row r="34" ht="14.15" customHeight="1">
      <c r="A34" s="7" t="n">
        <v>19</v>
      </c>
      <c r="B34" s="8" t="inlineStr">
        <is>
          <t>New Mobile Phone</t>
        </is>
      </c>
      <c r="C34" s="9" t="n">
        <v>10</v>
      </c>
      <c r="D34" s="9" t="n">
        <v>0</v>
      </c>
      <c r="E34" s="9" t="n">
        <v>7</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2026-08-31T10:08:29Z</dcterms:modified>
</cp:coreProperties>
</file>
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kery and Pastry Production" sheetId="1" state="visible" r:id="rId1"/>
    <sheet xmlns:r="http://schemas.openxmlformats.org/officeDocument/2006/relationships" name="Food and Beverage Production" sheetId="2" state="visible" r:id="rId2"/>
    <sheet xmlns:r="http://schemas.openxmlformats.org/officeDocument/2006/relationships" name="Professional Digital Mktg" sheetId="3" state="visible" r:id="rId3"/>
    <sheet xmlns:r="http://schemas.openxmlformats.org/officeDocument/2006/relationships" name="Auto Mechanics" sheetId="4" state="visible" r:id="rId4"/>
    <sheet xmlns:r="http://schemas.openxmlformats.org/officeDocument/2006/relationships" name="Beautification" sheetId="5" state="visible" r:id="rId5"/>
    <sheet xmlns:r="http://schemas.openxmlformats.org/officeDocument/2006/relationships" name="Electrical Install &amp; Maint" sheetId="6" state="visible" r:id="rId6"/>
    <sheet xmlns:r="http://schemas.openxmlformats.org/officeDocument/2006/relationships" name="Fashion Garments" sheetId="7" state="visible" r:id="rId7"/>
    <sheet xmlns:r="http://schemas.openxmlformats.org/officeDocument/2006/relationships" name="Plumbing and Pipe Fitting" sheetId="8" state="visible" r:id="rId8"/>
    <sheet xmlns:r="http://schemas.openxmlformats.org/officeDocument/2006/relationships" name="Refrigeration and AC" sheetId="9" state="visible" r:id="rId9"/>
    <sheet xmlns:r="http://schemas.openxmlformats.org/officeDocument/2006/relationships" name="Graphic Design" sheetId="10" state="visible" r:id="rId10"/>
    <sheet xmlns:r="http://schemas.openxmlformats.org/officeDocument/2006/relationships" name="IT Freelancing" sheetId="11" state="visible" r:id="rId11"/>
    <sheet xmlns:r="http://schemas.openxmlformats.org/officeDocument/2006/relationships" name="Mobile Phone Servicing" sheetId="12" state="visible" r:id="rId12"/>
    <sheet xmlns:r="http://schemas.openxmlformats.org/officeDocument/2006/relationships" name="Housekeeping" sheetId="13" state="visible" r:id="rId1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Bakery and Pastry Production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Bakery and Pastry Production</t>
        </is>
      </c>
      <c r="C8" s="4" t="inlineStr">
        <is>
          <t xml:space="preserve">Classroom – minimum 350 sft (33 sqm)
Workshop/ lab – 800 sft (75 sqm)
                     </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Bakery and Pastry Production,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Computers/ Laptop</t>
        </is>
      </c>
      <c r="C16" s="9" t="n">
        <v>1</v>
      </c>
      <c r="D16" s="9" t="n">
        <v>0</v>
      </c>
      <c r="E16" s="9" t="n">
        <v>5</v>
      </c>
      <c r="F16" s="9">
        <f>IFERROR(MIN(C16,D16)*E16/C16,0)</f>
        <v/>
      </c>
      <c r="G16" s="9" t="n"/>
    </row>
    <row r="17" ht="14.15" customHeight="1">
      <c r="A17" s="18" t="n">
        <v>2</v>
      </c>
      <c r="B17" s="8" t="inlineStr">
        <is>
          <t>Multimedia Projector</t>
        </is>
      </c>
      <c r="C17" s="9" t="n">
        <v>1</v>
      </c>
      <c r="D17" s="9" t="n">
        <v>0</v>
      </c>
      <c r="E17" s="9" t="n">
        <v>5</v>
      </c>
      <c r="F17" s="9">
        <f>IFERROR(MIN(C17,D17)*E17/C17,0)</f>
        <v/>
      </c>
      <c r="G17" s="9" t="n"/>
    </row>
    <row r="18" ht="14.15" customHeight="1">
      <c r="A18" s="18" t="n">
        <v>3</v>
      </c>
      <c r="B18" s="8" t="inlineStr">
        <is>
          <t>Cooking station (02 burner)</t>
        </is>
      </c>
      <c r="C18" s="9" t="n">
        <v>1</v>
      </c>
      <c r="D18" s="9" t="n">
        <v>0</v>
      </c>
      <c r="E18" s="9" t="n">
        <v>8</v>
      </c>
      <c r="F18" s="9">
        <f>IFERROR(MIN(C18,D18)*E18/C18,0)</f>
        <v/>
      </c>
      <c r="G18" s="9" t="n"/>
    </row>
    <row r="19" ht="14.15" customHeight="1">
      <c r="A19" s="18" t="n">
        <v>4</v>
      </c>
      <c r="B19" s="8" t="inlineStr">
        <is>
          <t>Electric oven (3 deck)</t>
        </is>
      </c>
      <c r="C19" s="9" t="n">
        <v>1</v>
      </c>
      <c r="D19" s="9" t="n">
        <v>0</v>
      </c>
      <c r="E19" s="9" t="n">
        <v>9</v>
      </c>
      <c r="F19" s="9">
        <f>IFERROR(MIN(C19,D19)*E19/C19,0)</f>
        <v/>
      </c>
      <c r="G19" s="9" t="n"/>
    </row>
    <row r="20" ht="14.15" customHeight="1">
      <c r="A20" s="18" t="n">
        <v>5</v>
      </c>
      <c r="B20" s="8" t="inlineStr">
        <is>
          <t>Gas oven (3 deck)</t>
        </is>
      </c>
      <c r="C20" s="9" t="n">
        <v>1</v>
      </c>
      <c r="D20" s="9" t="n">
        <v>0</v>
      </c>
      <c r="E20" s="9" t="n">
        <v>9</v>
      </c>
      <c r="F20" s="9">
        <f>IFERROR(MIN(C20,D20)*E20/C20,0)</f>
        <v/>
      </c>
      <c r="G20" s="9" t="n"/>
    </row>
    <row r="21" ht="14.15" customHeight="1">
      <c r="A21" s="18" t="n">
        <v>6</v>
      </c>
      <c r="B21" s="8" t="inlineStr">
        <is>
          <t>Cooling rack</t>
        </is>
      </c>
      <c r="C21" s="9" t="n">
        <v>1</v>
      </c>
      <c r="D21" s="9" t="n">
        <v>0</v>
      </c>
      <c r="E21" s="9" t="n">
        <v>5</v>
      </c>
      <c r="F21" s="9">
        <f>IFERROR(MIN(C21,D21)*E21/C21,0)</f>
        <v/>
      </c>
      <c r="G21" s="9" t="n"/>
    </row>
    <row r="22" ht="14.15" customHeight="1">
      <c r="A22" s="18" t="n">
        <v>7</v>
      </c>
      <c r="B22" s="8" t="inlineStr">
        <is>
          <t>Utensil rack</t>
        </is>
      </c>
      <c r="C22" s="9" t="n">
        <v>1</v>
      </c>
      <c r="D22" s="9" t="n">
        <v>0</v>
      </c>
      <c r="E22" s="9" t="n">
        <v>4</v>
      </c>
      <c r="F22" s="9">
        <f>IFERROR(MIN(C22,D22)*E22/C22,0)</f>
        <v/>
      </c>
      <c r="G22" s="9" t="n"/>
    </row>
    <row r="23" ht="14.15" customHeight="1">
      <c r="A23" s="18" t="n">
        <v>8</v>
      </c>
      <c r="B23" s="8" t="inlineStr">
        <is>
          <t>Food processors</t>
        </is>
      </c>
      <c r="C23" s="9" t="n">
        <v>1</v>
      </c>
      <c r="D23" s="9" t="n">
        <v>0</v>
      </c>
      <c r="E23" s="9" t="n">
        <v>7</v>
      </c>
      <c r="F23" s="9">
        <f>IFERROR(MIN(C23,D23)*E23/C23,0)</f>
        <v/>
      </c>
      <c r="G23" s="9" t="n"/>
    </row>
    <row r="24" ht="14.15" customHeight="1">
      <c r="A24" s="18" t="n">
        <v>9</v>
      </c>
      <c r="B24" s="8" t="inlineStr">
        <is>
          <t>Blender Machine</t>
        </is>
      </c>
      <c r="C24" s="9" t="n">
        <v>2</v>
      </c>
      <c r="D24" s="9" t="n">
        <v>0</v>
      </c>
      <c r="E24" s="9" t="n">
        <v>6</v>
      </c>
      <c r="F24" s="9">
        <f>IFERROR(MIN(C24,D24)*E24/C24,0)</f>
        <v/>
      </c>
      <c r="G24" s="9" t="n"/>
    </row>
    <row r="25" ht="14.15" customHeight="1">
      <c r="A25" s="18" t="n">
        <v>10</v>
      </c>
      <c r="B25" s="8" t="inlineStr">
        <is>
          <t>Electric egg beater</t>
        </is>
      </c>
      <c r="C25" s="9" t="n">
        <v>6</v>
      </c>
      <c r="D25" s="9" t="n">
        <v>0</v>
      </c>
      <c r="E25" s="9" t="n">
        <v>6</v>
      </c>
      <c r="F25" s="9">
        <f>IFERROR(MIN(C25,D25)*E25/C25,0)</f>
        <v/>
      </c>
      <c r="G25" s="9" t="n"/>
    </row>
    <row r="26" ht="14.15" customHeight="1">
      <c r="A26" s="18" t="n">
        <v>11</v>
      </c>
      <c r="B26" s="8" t="inlineStr">
        <is>
          <t>Rolling pin</t>
        </is>
      </c>
      <c r="C26" s="9" t="n">
        <v>6</v>
      </c>
      <c r="D26" s="9" t="n">
        <v>0</v>
      </c>
      <c r="E26" s="9" t="n">
        <v>3</v>
      </c>
      <c r="F26" s="9">
        <f>IFERROR(MIN(C26,D26)*E26/C26,0)</f>
        <v/>
      </c>
      <c r="G26" s="9" t="n"/>
    </row>
    <row r="27" ht="14.15" customHeight="1">
      <c r="A27" s="18" t="n">
        <v>12</v>
      </c>
      <c r="B27" s="8" t="inlineStr">
        <is>
          <t>Dough mixing machine</t>
        </is>
      </c>
      <c r="C27" s="9" t="n">
        <v>1</v>
      </c>
      <c r="D27" s="9" t="n">
        <v>0</v>
      </c>
      <c r="E27" s="9" t="n">
        <v>9</v>
      </c>
      <c r="F27" s="9">
        <f>IFERROR(MIN(C27,D27)*E27/C27,0)</f>
        <v/>
      </c>
      <c r="G27" s="9" t="n"/>
    </row>
    <row r="28" ht="14.15" customHeight="1">
      <c r="A28" s="18" t="n">
        <v>13</v>
      </c>
      <c r="B28" s="8" t="inlineStr">
        <is>
          <t>Chocolate melting machine</t>
        </is>
      </c>
      <c r="C28" s="9" t="n">
        <v>1</v>
      </c>
      <c r="D28" s="9" t="n">
        <v>0</v>
      </c>
      <c r="E28" s="9" t="n">
        <v>8</v>
      </c>
      <c r="F28" s="9">
        <f>IFERROR(MIN(C28,D28)*E28/C28,0)</f>
        <v/>
      </c>
      <c r="G28" s="9" t="n"/>
    </row>
    <row r="29" ht="14.15" customHeight="1">
      <c r="A29" s="18" t="n">
        <v>14</v>
      </c>
      <c r="B29" s="8" t="inlineStr">
        <is>
          <t>Refrigerator (200-300 L)</t>
        </is>
      </c>
      <c r="C29" s="9" t="n">
        <v>1</v>
      </c>
      <c r="D29" s="9" t="n">
        <v>0</v>
      </c>
      <c r="E29" s="9" t="n">
        <v>8</v>
      </c>
      <c r="F29" s="9">
        <f>IFERROR(MIN(C29,D29)*E29/C29,0)</f>
        <v/>
      </c>
      <c r="G29" s="9" t="n"/>
    </row>
    <row r="30" ht="14.15" customHeight="1">
      <c r="A30" s="18" t="n">
        <v>15</v>
      </c>
      <c r="B30" s="8" t="inlineStr">
        <is>
          <t>Freezers (200-300 L)</t>
        </is>
      </c>
      <c r="C30" s="9" t="n">
        <v>1</v>
      </c>
      <c r="D30" s="9" t="n">
        <v>0</v>
      </c>
      <c r="E30" s="9" t="n">
        <v>7</v>
      </c>
      <c r="F30" s="9">
        <f>IFERROR(MIN(C30,D30)*E30/C30,0)</f>
        <v/>
      </c>
      <c r="G30" s="9" t="n"/>
    </row>
    <row r="31" ht="14.15" customHeight="1">
      <c r="A31" s="18" t="n">
        <v>16</v>
      </c>
      <c r="B31" s="8" t="inlineStr">
        <is>
          <t>Microwave oven</t>
        </is>
      </c>
      <c r="C31" s="9" t="n">
        <v>1</v>
      </c>
      <c r="D31" s="9" t="n">
        <v>0</v>
      </c>
      <c r="E31" s="9" t="n">
        <v>6</v>
      </c>
      <c r="F31" s="9">
        <f>IFERROR(MIN(C31,D31)*E31/C31,0)</f>
        <v/>
      </c>
      <c r="G31" s="9" t="n"/>
    </row>
    <row r="32" ht="14.15" customHeight="1">
      <c r="A32" s="18" t="n">
        <v>17</v>
      </c>
      <c r="B32" s="8" t="inlineStr">
        <is>
          <t>Working table-SS made (preferred size – 6ft x 3ft)</t>
        </is>
      </c>
      <c r="C32" s="9" t="n">
        <v>5</v>
      </c>
      <c r="D32" s="9" t="n">
        <v>0</v>
      </c>
      <c r="E32" s="9" t="n">
        <v>7</v>
      </c>
      <c r="F32" s="9">
        <f>IFERROR(MIN(C32,D32)*E32/C32,0)</f>
        <v/>
      </c>
      <c r="G32" s="9" t="n"/>
    </row>
    <row r="33" ht="14.15" customHeight="1">
      <c r="A33" s="18" t="n">
        <v>18</v>
      </c>
      <c r="B33" s="8" t="inlineStr">
        <is>
          <t>Table with sink</t>
        </is>
      </c>
      <c r="C33" s="9" t="n">
        <v>2</v>
      </c>
      <c r="D33" s="9" t="n">
        <v>0</v>
      </c>
      <c r="E33" s="9" t="n">
        <v>6</v>
      </c>
      <c r="F33" s="9">
        <f>IFERROR(MIN(C33,D33)*E33/C33,0)</f>
        <v/>
      </c>
      <c r="G33" s="9" t="n"/>
    </row>
    <row r="34" ht="14.15" customHeight="1">
      <c r="A34" s="18" t="n">
        <v>19</v>
      </c>
      <c r="B34" s="8" t="inlineStr">
        <is>
          <t>Hand wash sink</t>
        </is>
      </c>
      <c r="C34" s="9" t="n">
        <v>1</v>
      </c>
      <c r="D34" s="9" t="n">
        <v>0</v>
      </c>
      <c r="E34" s="9" t="n">
        <v>5</v>
      </c>
      <c r="F34" s="9">
        <f>IFERROR(MIN(C34,D34)*E34/C34,0)</f>
        <v/>
      </c>
      <c r="G34" s="9" t="n"/>
    </row>
    <row r="35" ht="14.15" customHeight="1">
      <c r="A35" s="18" t="n">
        <v>20</v>
      </c>
      <c r="B35" s="8" t="inlineStr">
        <is>
          <t>Frying pan (18 cm)</t>
        </is>
      </c>
      <c r="C35" s="9" t="n">
        <v>6</v>
      </c>
      <c r="D35" s="9" t="n">
        <v>0</v>
      </c>
      <c r="E35" s="9" t="n">
        <v>4</v>
      </c>
      <c r="F35" s="9">
        <f>IFERROR(MIN(C35,D35)*E35/C35,0)</f>
        <v/>
      </c>
      <c r="G35" s="9" t="n"/>
    </row>
    <row r="36" ht="14.15" customHeight="1">
      <c r="A36" s="18" t="n">
        <v>21</v>
      </c>
      <c r="B36" s="8" t="inlineStr">
        <is>
          <t>Sauce pan (Heavy duty and medium size)</t>
        </is>
      </c>
      <c r="C36" s="9" t="n">
        <v>6</v>
      </c>
      <c r="D36" s="9" t="n">
        <v>0</v>
      </c>
      <c r="E36" s="9" t="n">
        <v>4</v>
      </c>
      <c r="F36" s="9">
        <f>IFERROR(MIN(C36,D36)*E36/C36,0)</f>
        <v/>
      </c>
      <c r="G36" s="9" t="n"/>
    </row>
    <row r="37" ht="14.15" customHeight="1">
      <c r="A37" s="18" t="n">
        <v>22</v>
      </c>
      <c r="B37" s="8" t="inlineStr">
        <is>
          <t>Weighing Scale (Preferred capacity 5 kg)</t>
        </is>
      </c>
      <c r="C37" s="9" t="n">
        <v>2</v>
      </c>
      <c r="D37" s="9" t="n">
        <v>0</v>
      </c>
      <c r="E37" s="9" t="n">
        <v>4</v>
      </c>
      <c r="F37" s="9">
        <f>IFERROR(MIN(C37,D37)*E37/C37,0)</f>
        <v/>
      </c>
      <c r="G37" s="9" t="n"/>
    </row>
    <row r="38" ht="14.15" customHeight="1">
      <c r="A38" s="18" t="n">
        <v>23</v>
      </c>
      <c r="B38" s="8" t="inlineStr">
        <is>
          <t>Waste bin</t>
        </is>
      </c>
      <c r="C38" s="9" t="n">
        <v>4</v>
      </c>
      <c r="D38" s="9" t="n">
        <v>0</v>
      </c>
      <c r="E38" s="9" t="n">
        <v>3</v>
      </c>
      <c r="F38" s="9">
        <f>IFERROR(MIN(C38,D38)*E38/C38,0)</f>
        <v/>
      </c>
      <c r="G38" s="9" t="n"/>
    </row>
    <row r="39">
      <c r="A39" s="19" t="inlineStr">
        <is>
          <t>Sum</t>
        </is>
      </c>
      <c r="B39" s="11" t="n"/>
      <c r="C39" s="11" t="n"/>
      <c r="D39" s="12" t="n"/>
      <c r="E39" s="19">
        <f>SUM(E16:E38)</f>
        <v/>
      </c>
      <c r="F39" s="19">
        <f>SUM(F16:F38)</f>
        <v/>
      </c>
      <c r="G39" s="13" t="n"/>
    </row>
    <row r="40">
      <c r="A40" s="19" t="inlineStr">
        <is>
          <t>Score out of 100</t>
        </is>
      </c>
      <c r="B40" s="11" t="n"/>
      <c r="C40" s="11" t="n"/>
      <c r="D40" s="11" t="n"/>
      <c r="E40" s="12" t="n"/>
      <c r="F40" s="19">
        <f>F39/E39*100</f>
        <v/>
      </c>
      <c r="G40" s="13" t="n"/>
    </row>
    <row r="41" ht="9.75" customHeight="1"/>
    <row r="42">
      <c r="A42" s="19" t="inlineStr">
        <is>
          <t xml:space="preserve">Total achieved points out of 30  </t>
        </is>
      </c>
      <c r="B42" s="11" t="n"/>
      <c r="C42" s="11" t="n"/>
      <c r="D42" s="11" t="n"/>
      <c r="E42" s="12" t="n"/>
      <c r="F42" s="19">
        <f>F40*30/100</f>
        <v/>
      </c>
      <c r="G42" s="19"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Food and Beverage Production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Food and Beverage Production</t>
        </is>
      </c>
      <c r="C8" s="4" t="inlineStr">
        <is>
          <t xml:space="preserve">Classroom – minimum 350 sft (33 sqm)
Workshop/ lab – 800 sft (75 sqm)
                     </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Food and Beverage Production,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Computers/Laptop</t>
        </is>
      </c>
      <c r="C16" s="9" t="n">
        <v>1</v>
      </c>
      <c r="D16" s="9" t="n">
        <v>0</v>
      </c>
      <c r="E16" s="9" t="n">
        <v>5</v>
      </c>
      <c r="F16" s="9">
        <f>IFERROR(MIN(C16,D16)*E16/C16,0)</f>
        <v/>
      </c>
      <c r="G16" s="9" t="n"/>
    </row>
    <row r="17" ht="14.15" customHeight="1">
      <c r="A17" s="18" t="n">
        <v>2</v>
      </c>
      <c r="B17" s="8" t="inlineStr">
        <is>
          <t>Multimedia Projector</t>
        </is>
      </c>
      <c r="C17" s="9" t="n">
        <v>1</v>
      </c>
      <c r="D17" s="9" t="n">
        <v>0</v>
      </c>
      <c r="E17" s="9" t="n">
        <v>5</v>
      </c>
      <c r="F17" s="9">
        <f>IFERROR(MIN(C17,D17)*E17/C17,0)</f>
        <v/>
      </c>
      <c r="G17" s="9" t="n"/>
    </row>
    <row r="18" ht="14.15" customHeight="1">
      <c r="A18" s="18" t="n">
        <v>3</v>
      </c>
      <c r="B18" s="8" t="inlineStr">
        <is>
          <t>Cooking station (02 burner each station)</t>
        </is>
      </c>
      <c r="C18" s="9" t="n">
        <v>6</v>
      </c>
      <c r="D18" s="9" t="n">
        <v>0</v>
      </c>
      <c r="E18" s="9" t="n">
        <v>9</v>
      </c>
      <c r="F18" s="9">
        <f>IFERROR(MIN(C18,D18)*E18/C18,0)</f>
        <v/>
      </c>
      <c r="G18" s="9" t="n"/>
    </row>
    <row r="19" ht="14.15" customHeight="1">
      <c r="A19" s="18" t="n">
        <v>4</v>
      </c>
      <c r="B19" s="8" t="inlineStr">
        <is>
          <t>Electric and induction stoves</t>
        </is>
      </c>
      <c r="C19" s="9" t="n">
        <v>5</v>
      </c>
      <c r="D19" s="9" t="n">
        <v>0</v>
      </c>
      <c r="E19" s="9" t="n">
        <v>9</v>
      </c>
      <c r="F19" s="9">
        <f>IFERROR(MIN(C19,D19)*E19/C19,0)</f>
        <v/>
      </c>
      <c r="G19" s="9" t="n"/>
    </row>
    <row r="20" ht="14.15" customHeight="1">
      <c r="A20" s="18" t="n">
        <v>5</v>
      </c>
      <c r="B20" s="8" t="inlineStr">
        <is>
          <t>Food processors</t>
        </is>
      </c>
      <c r="C20" s="9" t="n">
        <v>2</v>
      </c>
      <c r="D20" s="9" t="n">
        <v>0</v>
      </c>
      <c r="E20" s="9" t="n">
        <v>7</v>
      </c>
      <c r="F20" s="9">
        <f>IFERROR(MIN(C20,D20)*E20/C20,0)</f>
        <v/>
      </c>
      <c r="G20" s="9" t="n"/>
    </row>
    <row r="21" ht="14.15" customHeight="1">
      <c r="A21" s="18" t="n">
        <v>6</v>
      </c>
      <c r="B21" s="8" t="inlineStr">
        <is>
          <t>Blender Machine</t>
        </is>
      </c>
      <c r="C21" s="9" t="n">
        <v>3</v>
      </c>
      <c r="D21" s="9" t="n">
        <v>0</v>
      </c>
      <c r="E21" s="9" t="n">
        <v>6</v>
      </c>
      <c r="F21" s="9">
        <f>IFERROR(MIN(C21,D21)*E21/C21,0)</f>
        <v/>
      </c>
      <c r="G21" s="9" t="n"/>
    </row>
    <row r="22" ht="14.15" customHeight="1">
      <c r="A22" s="18" t="n">
        <v>7</v>
      </c>
      <c r="B22" s="8" t="inlineStr">
        <is>
          <t>Refrigerator (200-300 L)</t>
        </is>
      </c>
      <c r="C22" s="9" t="n">
        <v>2</v>
      </c>
      <c r="D22" s="9" t="n">
        <v>0</v>
      </c>
      <c r="E22" s="9" t="n">
        <v>8</v>
      </c>
      <c r="F22" s="9">
        <f>IFERROR(MIN(C22,D22)*E22/C22,0)</f>
        <v/>
      </c>
      <c r="G22" s="9" t="n"/>
    </row>
    <row r="23" ht="14.15" customHeight="1">
      <c r="A23" s="18" t="n">
        <v>8</v>
      </c>
      <c r="B23" s="8" t="inlineStr">
        <is>
          <t>Freezers (200-300 L)</t>
        </is>
      </c>
      <c r="C23" s="9" t="n">
        <v>1</v>
      </c>
      <c r="D23" s="9" t="n">
        <v>0</v>
      </c>
      <c r="E23" s="9" t="n">
        <v>7</v>
      </c>
      <c r="F23" s="9">
        <f>IFERROR(MIN(C23,D23)*E23/C23,0)</f>
        <v/>
      </c>
      <c r="G23" s="9" t="n"/>
    </row>
    <row r="24" ht="14.15" customHeight="1">
      <c r="A24" s="18" t="n">
        <v>9</v>
      </c>
      <c r="B24" s="8" t="inlineStr">
        <is>
          <t>Microwave oven</t>
        </is>
      </c>
      <c r="C24" s="9" t="n">
        <v>2</v>
      </c>
      <c r="D24" s="9" t="n">
        <v>0</v>
      </c>
      <c r="E24" s="9" t="n">
        <v>6</v>
      </c>
      <c r="F24" s="9">
        <f>IFERROR(MIN(C24,D24)*E24/C24,0)</f>
        <v/>
      </c>
      <c r="G24" s="9" t="n"/>
    </row>
    <row r="25" ht="14.15" customHeight="1">
      <c r="A25" s="18" t="n">
        <v>10</v>
      </c>
      <c r="B25" s="8" t="inlineStr">
        <is>
          <t>Griller</t>
        </is>
      </c>
      <c r="C25" s="9" t="n">
        <v>1</v>
      </c>
      <c r="D25" s="9" t="n">
        <v>0</v>
      </c>
      <c r="E25" s="9" t="n">
        <v>6</v>
      </c>
      <c r="F25" s="9">
        <f>IFERROR(MIN(C25,D25)*E25/C25,0)</f>
        <v/>
      </c>
      <c r="G25" s="9" t="n"/>
    </row>
    <row r="26" ht="14.15" customHeight="1">
      <c r="A26" s="18" t="n">
        <v>11</v>
      </c>
      <c r="B26" s="8" t="inlineStr">
        <is>
          <t>Meat mincer</t>
        </is>
      </c>
      <c r="C26" s="9" t="n">
        <v>1</v>
      </c>
      <c r="D26" s="9" t="n">
        <v>0</v>
      </c>
      <c r="E26" s="9" t="n">
        <v>6</v>
      </c>
      <c r="F26" s="9">
        <f>IFERROR(MIN(C26,D26)*E26/C26,0)</f>
        <v/>
      </c>
      <c r="G26" s="9" t="n"/>
    </row>
    <row r="27" ht="14.15" customHeight="1">
      <c r="A27" s="18" t="n">
        <v>12</v>
      </c>
      <c r="B27" s="8" t="inlineStr">
        <is>
          <t>Convection Oven/Deck oven</t>
        </is>
      </c>
      <c r="C27" s="9" t="n">
        <v>1</v>
      </c>
      <c r="D27" s="9" t="n">
        <v>0</v>
      </c>
      <c r="E27" s="9" t="n">
        <v>9</v>
      </c>
      <c r="F27" s="9">
        <f>IFERROR(MIN(C27,D27)*E27/C27,0)</f>
        <v/>
      </c>
      <c r="G27" s="9" t="n"/>
    </row>
    <row r="28" ht="14.15" customHeight="1">
      <c r="A28" s="18" t="n">
        <v>13</v>
      </c>
      <c r="B28" s="8" t="inlineStr">
        <is>
          <t>Working table (preferred size – 6ft x 3ft)</t>
        </is>
      </c>
      <c r="C28" s="9" t="n">
        <v>5</v>
      </c>
      <c r="D28" s="9" t="n">
        <v>0</v>
      </c>
      <c r="E28" s="9" t="n">
        <v>7</v>
      </c>
      <c r="F28" s="9">
        <f>IFERROR(MIN(C28,D28)*E28/C28,0)</f>
        <v/>
      </c>
      <c r="G28" s="9" t="n"/>
    </row>
    <row r="29" ht="14.15" customHeight="1">
      <c r="A29" s="18" t="n">
        <v>14</v>
      </c>
      <c r="B29" s="8" t="inlineStr">
        <is>
          <t>Table with Sink</t>
        </is>
      </c>
      <c r="C29" s="9" t="n">
        <v>2</v>
      </c>
      <c r="D29" s="9" t="n">
        <v>0</v>
      </c>
      <c r="E29" s="9" t="n">
        <v>6</v>
      </c>
      <c r="F29" s="9">
        <f>IFERROR(MIN(C29,D29)*E29/C29,0)</f>
        <v/>
      </c>
      <c r="G29" s="9" t="n"/>
    </row>
    <row r="30" ht="14.15" customHeight="1">
      <c r="A30" s="18" t="n">
        <v>15</v>
      </c>
      <c r="B30" s="8" t="inlineStr">
        <is>
          <t>Hand wash Sink</t>
        </is>
      </c>
      <c r="C30" s="9" t="n">
        <v>1</v>
      </c>
      <c r="D30" s="9" t="n">
        <v>0</v>
      </c>
      <c r="E30" s="9" t="n">
        <v>5</v>
      </c>
      <c r="F30" s="9">
        <f>IFERROR(MIN(C30,D30)*E30/C30,0)</f>
        <v/>
      </c>
      <c r="G30" s="9" t="n"/>
    </row>
    <row r="31" ht="14.15" customHeight="1">
      <c r="A31" s="18" t="n">
        <v>16</v>
      </c>
      <c r="B31" s="8" t="inlineStr">
        <is>
          <t>Frying pan (24cm)</t>
        </is>
      </c>
      <c r="C31" s="9" t="n">
        <v>12</v>
      </c>
      <c r="D31" s="9" t="n">
        <v>0</v>
      </c>
      <c r="E31" s="9" t="n">
        <v>4</v>
      </c>
      <c r="F31" s="9">
        <f>IFERROR(MIN(C31,D31)*E31/C31,0)</f>
        <v/>
      </c>
      <c r="G31" s="9" t="n"/>
    </row>
    <row r="32" ht="14.15" customHeight="1">
      <c r="A32" s="18" t="n">
        <v>17</v>
      </c>
      <c r="B32" s="8" t="inlineStr">
        <is>
          <t>Cooking pan (medium size)</t>
        </is>
      </c>
      <c r="C32" s="9" t="n">
        <v>12</v>
      </c>
      <c r="D32" s="9" t="n">
        <v>0</v>
      </c>
      <c r="E32" s="9" t="n">
        <v>4</v>
      </c>
      <c r="F32" s="9">
        <f>IFERROR(MIN(C32,D32)*E32/C32,0)</f>
        <v/>
      </c>
      <c r="G32" s="9" t="n"/>
    </row>
    <row r="33" ht="14.15" customHeight="1">
      <c r="A33" s="18" t="n">
        <v>18</v>
      </c>
      <c r="B33" s="8" t="inlineStr">
        <is>
          <t>Weighing Scale (Preferred capacity 10 kg)</t>
        </is>
      </c>
      <c r="C33" s="9" t="n">
        <v>1</v>
      </c>
      <c r="D33" s="9" t="n">
        <v>0</v>
      </c>
      <c r="E33" s="9" t="n">
        <v>4</v>
      </c>
      <c r="F33" s="9">
        <f>IFERROR(MIN(C33,D33)*E33/C33,0)</f>
        <v/>
      </c>
      <c r="G33" s="9" t="n"/>
    </row>
    <row r="34" ht="14.15" customHeight="1">
      <c r="A34" s="18" t="n">
        <v>19</v>
      </c>
      <c r="B34" s="8" t="inlineStr">
        <is>
          <t>Weighing Scale (Preferred capacity 5 kg)</t>
        </is>
      </c>
      <c r="C34" s="9" t="n">
        <v>5</v>
      </c>
      <c r="D34" s="9" t="n">
        <v>0</v>
      </c>
      <c r="E34" s="9" t="n">
        <v>4</v>
      </c>
      <c r="F34" s="9">
        <f>IFERROR(MIN(C34,D34)*E34/C34,0)</f>
        <v/>
      </c>
      <c r="G34" s="9" t="n"/>
    </row>
    <row r="35">
      <c r="A35" s="19" t="inlineStr">
        <is>
          <t>Sum</t>
        </is>
      </c>
      <c r="B35" s="11" t="n"/>
      <c r="C35" s="11" t="n"/>
      <c r="D35" s="12" t="n"/>
      <c r="E35" s="19">
        <f>SUM(E16:E34)</f>
        <v/>
      </c>
      <c r="F35" s="19">
        <f>SUM(F16:F34)</f>
        <v/>
      </c>
      <c r="G35" s="13" t="n"/>
    </row>
    <row r="36">
      <c r="A36" s="19" t="inlineStr">
        <is>
          <t>Score out of 100</t>
        </is>
      </c>
      <c r="B36" s="11" t="n"/>
      <c r="C36" s="11" t="n"/>
      <c r="D36" s="11" t="n"/>
      <c r="E36" s="12" t="n"/>
      <c r="F36" s="19">
        <f>F35/E35*100</f>
        <v/>
      </c>
      <c r="G36" s="13" t="n"/>
    </row>
    <row r="37" ht="9.75" customHeight="1"/>
    <row r="38">
      <c r="A38" s="19" t="inlineStr">
        <is>
          <t xml:space="preserve">Total achieved points out of 30  </t>
        </is>
      </c>
      <c r="B38" s="11" t="n"/>
      <c r="C38" s="11" t="n"/>
      <c r="D38" s="11" t="n"/>
      <c r="E38" s="12" t="n"/>
      <c r="F38" s="19">
        <f>F36*30/100</f>
        <v/>
      </c>
      <c r="G38" s="19"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Professional Digital Marketing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Professional Digital Marketing</t>
        </is>
      </c>
      <c r="C8" s="4" t="inlineStr">
        <is>
          <t>Classroom – 350 sft (33 sqm)
lab size – 500 sft (47 sqm)
OR
Classroom cum workshop – 500 sft (47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Professional Digital Marketing,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Computer/Laptop</t>
        </is>
      </c>
      <c r="C16" s="9" t="n">
        <v>1</v>
      </c>
      <c r="D16" s="9" t="n">
        <v>0</v>
      </c>
      <c r="E16" s="9" t="n">
        <v>8</v>
      </c>
      <c r="F16" s="9">
        <f>IFERROR(MIN(C16,D16)*E16/C16,0)</f>
        <v/>
      </c>
      <c r="G16" s="9" t="n"/>
    </row>
    <row r="17" ht="14.15" customHeight="1">
      <c r="A17" s="18" t="n">
        <v>2</v>
      </c>
      <c r="B17" s="8" t="inlineStr">
        <is>
          <t>Printer</t>
        </is>
      </c>
      <c r="C17" s="9" t="n">
        <v>1</v>
      </c>
      <c r="D17" s="9" t="n">
        <v>0</v>
      </c>
      <c r="E17" s="9" t="n">
        <v>6</v>
      </c>
      <c r="F17" s="9">
        <f>IFERROR(MIN(C17,D17)*E17/C17,0)</f>
        <v/>
      </c>
      <c r="G17" s="9" t="n"/>
    </row>
    <row r="18" ht="14.15" customHeight="1">
      <c r="A18" s="18" t="n">
        <v>3</v>
      </c>
      <c r="B18" s="8" t="inlineStr">
        <is>
          <t>Scanner</t>
        </is>
      </c>
      <c r="C18" s="9" t="n">
        <v>1</v>
      </c>
      <c r="D18" s="9" t="n">
        <v>0</v>
      </c>
      <c r="E18" s="9" t="n">
        <v>6</v>
      </c>
      <c r="F18" s="9">
        <f>IFERROR(MIN(C18,D18)*E18/C18,0)</f>
        <v/>
      </c>
      <c r="G18" s="9" t="n"/>
    </row>
    <row r="19" ht="14.15" customHeight="1">
      <c r="A19" s="18" t="n">
        <v>4</v>
      </c>
      <c r="B19" s="8" t="inlineStr">
        <is>
          <t>Computers/Laptop: 
(Minimum Intel core i5 or Intel core i3 6 gen/above, or AMD Ryzen similar spec, 8GB RAM (16GB preferred), 500GB SSD storage (1TB preferred), High-resolution monitors (19/20-inch minimum, with color accuracy).</t>
        </is>
      </c>
      <c r="C19" s="9" t="n">
        <v>25</v>
      </c>
      <c r="D19" s="9" t="n">
        <v>0</v>
      </c>
      <c r="E19" s="9" t="n">
        <v>10</v>
      </c>
      <c r="F19" s="9">
        <f>IFERROR(MIN(C19,D19)*E19/C19,0)</f>
        <v/>
      </c>
      <c r="G19" s="9" t="n"/>
    </row>
    <row r="20" ht="14.15" customHeight="1">
      <c r="A20" s="18" t="n">
        <v>5</v>
      </c>
      <c r="B20" s="8" t="inlineStr">
        <is>
          <t>Projector: 
High-resolution projector (HD or 4K) for instructor presentations, large screen for the room to ensure visibility for all trainees.</t>
        </is>
      </c>
      <c r="C20" s="9" t="n">
        <v>1</v>
      </c>
      <c r="D20" s="9" t="n">
        <v>0</v>
      </c>
      <c r="E20" s="9" t="n">
        <v>6</v>
      </c>
      <c r="F20" s="9">
        <f>IFERROR(MIN(C20,D20)*E20/C20,0)</f>
        <v/>
      </c>
      <c r="G20" s="9" t="n"/>
    </row>
    <row r="21" ht="14.15" customHeight="1">
      <c r="A21" s="18" t="n">
        <v>6</v>
      </c>
      <c r="B21" s="8" t="inlineStr">
        <is>
          <t>Tools: 
Office application, photo editing software and video editing software, SEO Tools, Social Media Management, Email Marketing, Content Creation, CRM, ad campaigns</t>
        </is>
      </c>
      <c r="C21" s="9" t="n">
        <v>6</v>
      </c>
      <c r="D21" s="9" t="n">
        <v>0</v>
      </c>
      <c r="E21" s="9" t="n">
        <v>8</v>
      </c>
      <c r="F21" s="9">
        <f>IFERROR(MIN(C21,D21)*E21/C21,0)</f>
        <v/>
      </c>
      <c r="G21" s="9" t="n"/>
    </row>
    <row r="22" ht="14.15" customHeight="1">
      <c r="A22" s="18" t="n">
        <v>7</v>
      </c>
      <c r="B22" s="8" t="inlineStr">
        <is>
          <t>Ergonomic chairs and desks</t>
        </is>
      </c>
      <c r="C22" s="9" t="n">
        <v>25</v>
      </c>
      <c r="D22" s="9" t="n">
        <v>0</v>
      </c>
      <c r="E22" s="9" t="n">
        <v>5</v>
      </c>
      <c r="F22" s="9">
        <f>IFERROR(MIN(C22,D22)*E22/C22,0)</f>
        <v/>
      </c>
      <c r="G22" s="9" t="n"/>
    </row>
    <row r="23" ht="14.15" customHeight="1">
      <c r="A23" s="18" t="n">
        <v>8</v>
      </c>
      <c r="B23" s="8" t="inlineStr">
        <is>
          <t>Internet connectivity (Minimum 10 Mbps) with power back-up (at least 01 hour)</t>
        </is>
      </c>
      <c r="C23" s="9" t="n">
        <v>1</v>
      </c>
      <c r="D23" s="9" t="n">
        <v>0</v>
      </c>
      <c r="E23" s="9" t="n">
        <v>8</v>
      </c>
      <c r="F23" s="9">
        <f>IFERROR(MIN(C23,D23)*E23/C23,0)</f>
        <v/>
      </c>
      <c r="G23" s="9" t="n"/>
    </row>
    <row r="24">
      <c r="A24" s="19" t="inlineStr">
        <is>
          <t>Sum</t>
        </is>
      </c>
      <c r="B24" s="11" t="n"/>
      <c r="C24" s="11" t="n"/>
      <c r="D24" s="12" t="n"/>
      <c r="E24" s="19">
        <f>SUM(E16:E23)</f>
        <v/>
      </c>
      <c r="F24" s="19">
        <f>SUM(F16:F23)</f>
        <v/>
      </c>
      <c r="G24" s="13" t="n"/>
    </row>
    <row r="25">
      <c r="A25" s="19" t="inlineStr">
        <is>
          <t>Score out of 100</t>
        </is>
      </c>
      <c r="B25" s="11" t="n"/>
      <c r="C25" s="11" t="n"/>
      <c r="D25" s="11" t="n"/>
      <c r="E25" s="12" t="n"/>
      <c r="F25" s="19">
        <f>F24/E24*100</f>
        <v/>
      </c>
      <c r="G25" s="13" t="n"/>
    </row>
    <row r="26" ht="9.75" customHeight="1"/>
    <row r="27">
      <c r="A27" s="19" t="inlineStr">
        <is>
          <t xml:space="preserve">Total achieved points out of 30  </t>
        </is>
      </c>
      <c r="B27" s="11" t="n"/>
      <c r="C27" s="11" t="n"/>
      <c r="D27" s="11" t="n"/>
      <c r="E27" s="12" t="n"/>
      <c r="F27" s="19">
        <f>F25*30/100</f>
        <v/>
      </c>
      <c r="G27" s="19" t="inlineStr">
        <is>
          <t>Points</t>
        </is>
      </c>
    </row>
    <row r="28" ht="14.15" customHeight="1">
      <c r="A28" s="5" t="inlineStr">
        <is>
          <t>* For this course, the lab should be air-conditioned. Otherwise, the total points achieved will be halved.</t>
        </is>
      </c>
    </row>
  </sheetData>
  <mergeCells count="9">
    <mergeCell ref="A13:G13"/>
    <mergeCell ref="C7:G7"/>
    <mergeCell ref="A1:G1"/>
    <mergeCell ref="A25:E25"/>
    <mergeCell ref="A26:G26"/>
    <mergeCell ref="A24:D24"/>
    <mergeCell ref="C8:G8"/>
    <mergeCell ref="A27:E27"/>
    <mergeCell ref="A28:G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Auto Mechanics</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Auto Mechanics</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Auto Mechanics,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t>
        </is>
      </c>
      <c r="C16" s="9" t="n">
        <v>2</v>
      </c>
      <c r="D16" s="9" t="n">
        <v>0</v>
      </c>
      <c r="E16" s="9" t="n">
        <v>5</v>
      </c>
      <c r="F16" s="9">
        <f>IFERROR(MIN(C16,D16)*E16/C16,0)</f>
        <v/>
      </c>
      <c r="G16" s="9" t="n"/>
    </row>
    <row r="17" ht="14.15" customHeight="1">
      <c r="A17" s="18" t="n">
        <v>2</v>
      </c>
      <c r="B17" s="8" t="inlineStr">
        <is>
          <t>Projector</t>
        </is>
      </c>
      <c r="C17" s="9" t="n">
        <v>1</v>
      </c>
      <c r="D17" s="9" t="n">
        <v>0</v>
      </c>
      <c r="E17" s="9" t="n">
        <v>5</v>
      </c>
      <c r="F17" s="9">
        <f>IFERROR(MIN(C17,D17)*E17/C17,0)</f>
        <v/>
      </c>
      <c r="G17" s="9" t="n"/>
    </row>
    <row r="18" ht="14.15" customHeight="1">
      <c r="A18" s="18" t="n">
        <v>3</v>
      </c>
      <c r="B18" s="8" t="inlineStr">
        <is>
          <t>Internet connectivity</t>
        </is>
      </c>
      <c r="C18" s="9" t="n">
        <v>1</v>
      </c>
      <c r="D18" s="9" t="n">
        <v>0</v>
      </c>
      <c r="E18" s="9" t="n">
        <v>5</v>
      </c>
      <c r="F18" s="9">
        <f>IFERROR(MIN(C18,D18)*E18/C18,0)</f>
        <v/>
      </c>
      <c r="G18" s="9" t="n"/>
    </row>
    <row r="19" ht="14.15" customHeight="1">
      <c r="A19" s="18" t="n">
        <v>4</v>
      </c>
      <c r="B19" s="8" t="inlineStr">
        <is>
          <t>Carburettor engine</t>
        </is>
      </c>
      <c r="C19" s="9" t="n">
        <v>2</v>
      </c>
      <c r="D19" s="9" t="n">
        <v>0</v>
      </c>
      <c r="E19" s="9" t="n">
        <v>9</v>
      </c>
      <c r="F19" s="9">
        <f>IFERROR(MIN(C19,D19)*E19/C19,0)</f>
        <v/>
      </c>
      <c r="G19" s="9" t="n"/>
    </row>
    <row r="20" ht="14.15" customHeight="1">
      <c r="A20" s="18" t="n">
        <v>5</v>
      </c>
      <c r="B20" s="8" t="inlineStr">
        <is>
          <t>EFI engine</t>
        </is>
      </c>
      <c r="C20" s="9" t="n">
        <v>4</v>
      </c>
      <c r="D20" s="9" t="n">
        <v>0</v>
      </c>
      <c r="E20" s="9" t="n">
        <v>9</v>
      </c>
      <c r="F20" s="9">
        <f>IFERROR(MIN(C20,D20)*E20/C20,0)</f>
        <v/>
      </c>
      <c r="G20" s="9" t="n"/>
    </row>
    <row r="21" ht="14.15" customHeight="1">
      <c r="A21" s="18" t="n">
        <v>6</v>
      </c>
      <c r="B21" s="8" t="inlineStr">
        <is>
          <t>VVTi engine</t>
        </is>
      </c>
      <c r="C21" s="9" t="n">
        <v>2</v>
      </c>
      <c r="D21" s="9" t="n">
        <v>0</v>
      </c>
      <c r="E21" s="9" t="n">
        <v>8</v>
      </c>
      <c r="F21" s="9">
        <f>IFERROR(MIN(C21,D21)*E21/C21,0)</f>
        <v/>
      </c>
      <c r="G21" s="9" t="n"/>
    </row>
    <row r="22" ht="14.15" customHeight="1">
      <c r="A22" s="18" t="n">
        <v>7</v>
      </c>
      <c r="B22" s="8" t="inlineStr">
        <is>
          <t>Hybrid engine</t>
        </is>
      </c>
      <c r="C22" s="9" t="n">
        <v>1</v>
      </c>
      <c r="D22" s="9" t="n">
        <v>0</v>
      </c>
      <c r="E22" s="9" t="n">
        <v>9</v>
      </c>
      <c r="F22" s="9">
        <f>IFERROR(MIN(C22,D22)*E22/C22,0)</f>
        <v/>
      </c>
      <c r="G22" s="9" t="n"/>
    </row>
    <row r="23" ht="14.15" customHeight="1">
      <c r="A23" s="18" t="n">
        <v>8</v>
      </c>
      <c r="B23" s="8" t="inlineStr">
        <is>
          <t>Manual gear system</t>
        </is>
      </c>
      <c r="C23" s="9" t="n">
        <v>2</v>
      </c>
      <c r="D23" s="9" t="n">
        <v>0</v>
      </c>
      <c r="E23" s="9" t="n">
        <v>8</v>
      </c>
      <c r="F23" s="9">
        <f>IFERROR(MIN(C23,D23)*E23/C23,0)</f>
        <v/>
      </c>
      <c r="G23" s="9" t="n"/>
    </row>
    <row r="24" ht="14.15" customHeight="1">
      <c r="A24" s="18" t="n">
        <v>9</v>
      </c>
      <c r="B24" s="8" t="inlineStr">
        <is>
          <t>Power gear system</t>
        </is>
      </c>
      <c r="C24" s="9" t="n">
        <v>2</v>
      </c>
      <c r="D24" s="9" t="n">
        <v>0</v>
      </c>
      <c r="E24" s="9" t="n">
        <v>7</v>
      </c>
      <c r="F24" s="9">
        <f>IFERROR(MIN(C24,D24)*E24/C24,0)</f>
        <v/>
      </c>
      <c r="G24" s="9" t="n"/>
    </row>
    <row r="25" ht="14.15" customHeight="1">
      <c r="A25" s="18" t="n">
        <v>10</v>
      </c>
      <c r="B25" s="8" t="inlineStr">
        <is>
          <t>Power transmission system</t>
        </is>
      </c>
      <c r="C25" s="9" t="n">
        <v>1</v>
      </c>
      <c r="D25" s="9" t="n">
        <v>0</v>
      </c>
      <c r="E25" s="9" t="n">
        <v>7</v>
      </c>
      <c r="F25" s="9">
        <f>IFERROR(MIN(C25,D25)*E25/C25,0)</f>
        <v/>
      </c>
      <c r="G25" s="9" t="n"/>
    </row>
    <row r="26" ht="14.15" customHeight="1">
      <c r="A26" s="18" t="n">
        <v>11</v>
      </c>
      <c r="B26" s="8" t="inlineStr">
        <is>
          <t>Tire changer machine</t>
        </is>
      </c>
      <c r="C26" s="9" t="n">
        <v>1</v>
      </c>
      <c r="D26" s="9" t="n">
        <v>0</v>
      </c>
      <c r="E26" s="9" t="n">
        <v>6</v>
      </c>
      <c r="F26" s="9">
        <f>IFERROR(MIN(C26,D26)*E26/C26,0)</f>
        <v/>
      </c>
      <c r="G26" s="9" t="n"/>
    </row>
    <row r="27" ht="14.15" customHeight="1">
      <c r="A27" s="18" t="n">
        <v>12</v>
      </c>
      <c r="B27" s="8" t="inlineStr">
        <is>
          <t>Wheel balancing machine</t>
        </is>
      </c>
      <c r="C27" s="9" t="n">
        <v>1</v>
      </c>
      <c r="D27" s="9" t="n">
        <v>0</v>
      </c>
      <c r="E27" s="9" t="n">
        <v>6</v>
      </c>
      <c r="F27" s="9">
        <f>IFERROR(MIN(C27,D27)*E27/C27,0)</f>
        <v/>
      </c>
      <c r="G27" s="9" t="n"/>
    </row>
    <row r="28" ht="14.15" customHeight="1">
      <c r="A28" s="18" t="n">
        <v>13</v>
      </c>
      <c r="B28" s="8" t="inlineStr">
        <is>
          <t>Hydraulic lift</t>
        </is>
      </c>
      <c r="C28" s="9" t="n">
        <v>1</v>
      </c>
      <c r="D28" s="9" t="n">
        <v>0</v>
      </c>
      <c r="E28" s="9" t="n">
        <v>9</v>
      </c>
      <c r="F28" s="9">
        <f>IFERROR(MIN(C28,D28)*E28/C28,0)</f>
        <v/>
      </c>
      <c r="G28" s="9" t="n"/>
    </row>
    <row r="29" ht="14.15" customHeight="1">
      <c r="A29" s="18" t="n">
        <v>14</v>
      </c>
      <c r="B29" s="8" t="inlineStr">
        <is>
          <t>Gasoline injector cleaner</t>
        </is>
      </c>
      <c r="C29" s="9" t="n">
        <v>1</v>
      </c>
      <c r="D29" s="9" t="n">
        <v>0</v>
      </c>
      <c r="E29" s="9" t="n">
        <v>6</v>
      </c>
      <c r="F29" s="9">
        <f>IFERROR(MIN(C29,D29)*E29/C29,0)</f>
        <v/>
      </c>
      <c r="G29" s="9" t="n"/>
    </row>
    <row r="30" ht="14.15" customHeight="1">
      <c r="A30" s="18" t="n">
        <v>15</v>
      </c>
      <c r="B30" s="8" t="inlineStr">
        <is>
          <t>Exhaust gas analyser</t>
        </is>
      </c>
      <c r="C30" s="9" t="n">
        <v>1</v>
      </c>
      <c r="D30" s="9" t="n">
        <v>0</v>
      </c>
      <c r="E30" s="9" t="n">
        <v>7</v>
      </c>
      <c r="F30" s="9">
        <f>IFERROR(MIN(C30,D30)*E30/C30,0)</f>
        <v/>
      </c>
      <c r="G30" s="9" t="n"/>
    </row>
    <row r="31" ht="14.15" customHeight="1">
      <c r="A31" s="18" t="n">
        <v>16</v>
      </c>
      <c r="B31" s="8" t="inlineStr">
        <is>
          <t>Engine scanner</t>
        </is>
      </c>
      <c r="C31" s="9" t="n">
        <v>1</v>
      </c>
      <c r="D31" s="9" t="n">
        <v>0</v>
      </c>
      <c r="E31" s="9" t="n">
        <v>8</v>
      </c>
      <c r="F31" s="9">
        <f>IFERROR(MIN(C31,D31)*E31/C31,0)</f>
        <v/>
      </c>
      <c r="G31" s="9" t="n"/>
    </row>
    <row r="32" ht="14.15" customHeight="1">
      <c r="A32" s="18" t="n">
        <v>17</v>
      </c>
      <c r="B32" s="8" t="inlineStr">
        <is>
          <t>On board diagnostic (OBD) scanner</t>
        </is>
      </c>
      <c r="C32" s="9" t="n">
        <v>1</v>
      </c>
      <c r="D32" s="9" t="n">
        <v>0</v>
      </c>
      <c r="E32" s="9" t="n">
        <v>8</v>
      </c>
      <c r="F32" s="9">
        <f>IFERROR(MIN(C32,D32)*E32/C32,0)</f>
        <v/>
      </c>
      <c r="G32" s="9" t="n"/>
    </row>
    <row r="33" ht="14.15" customHeight="1">
      <c r="A33" s="18" t="n">
        <v>18</v>
      </c>
      <c r="B33" s="8" t="inlineStr">
        <is>
          <t>Cut-way engine model (Disel and Petrol)</t>
        </is>
      </c>
      <c r="C33" s="9" t="n">
        <v>1</v>
      </c>
      <c r="D33" s="9" t="n">
        <v>0</v>
      </c>
      <c r="E33" s="9" t="n">
        <v>8</v>
      </c>
      <c r="F33" s="9">
        <f>IFERROR(MIN(C33,D33)*E33/C33,0)</f>
        <v/>
      </c>
      <c r="G33" s="9" t="n"/>
    </row>
    <row r="34" ht="14.15" customHeight="1">
      <c r="A34" s="18" t="n">
        <v>19</v>
      </c>
      <c r="B34" s="8" t="inlineStr">
        <is>
          <t>Trainer board of auto electric system</t>
        </is>
      </c>
      <c r="C34" s="9" t="n">
        <v>1</v>
      </c>
      <c r="D34" s="9" t="n">
        <v>0</v>
      </c>
      <c r="E34" s="9" t="n">
        <v>7</v>
      </c>
      <c r="F34" s="9">
        <f>IFERROR(MIN(C34,D34)*E34/C34,0)</f>
        <v/>
      </c>
      <c r="G34" s="9" t="n"/>
    </row>
    <row r="35" ht="14.15" customHeight="1">
      <c r="A35" s="18" t="n">
        <v>20</v>
      </c>
      <c r="B35" s="8" t="inlineStr">
        <is>
          <t>Trainer board of brake system</t>
        </is>
      </c>
      <c r="C35" s="9" t="n">
        <v>1</v>
      </c>
      <c r="D35" s="9" t="n">
        <v>0</v>
      </c>
      <c r="E35" s="9" t="n">
        <v>7</v>
      </c>
      <c r="F35" s="9">
        <f>IFERROR(MIN(C35,D35)*E35/C35,0)</f>
        <v/>
      </c>
      <c r="G35" s="9" t="n"/>
    </row>
    <row r="36" ht="14.15" customHeight="1">
      <c r="A36" s="18" t="n">
        <v>21</v>
      </c>
      <c r="B36" s="8" t="inlineStr">
        <is>
          <t>Trainer board of transmission system</t>
        </is>
      </c>
      <c r="C36" s="9" t="n">
        <v>1</v>
      </c>
      <c r="D36" s="9" t="n">
        <v>0</v>
      </c>
      <c r="E36" s="9" t="n">
        <v>7</v>
      </c>
      <c r="F36" s="9">
        <f>IFERROR(MIN(C36,D36)*E36/C36,0)</f>
        <v/>
      </c>
      <c r="G36" s="9" t="n"/>
    </row>
    <row r="37" ht="14.15" customHeight="1">
      <c r="A37" s="18" t="n">
        <v>22</v>
      </c>
      <c r="B37" s="8" t="inlineStr">
        <is>
          <t>High pressure pump (Disel)</t>
        </is>
      </c>
      <c r="C37" s="9" t="n">
        <v>1</v>
      </c>
      <c r="D37" s="9" t="n">
        <v>0</v>
      </c>
      <c r="E37" s="9" t="n">
        <v>6</v>
      </c>
      <c r="F37" s="9">
        <f>IFERROR(MIN(C37,D37)*E37/C37,0)</f>
        <v/>
      </c>
      <c r="G37" s="9" t="n"/>
    </row>
    <row r="38" ht="14.15" customHeight="1">
      <c r="A38" s="18" t="n">
        <v>23</v>
      </c>
      <c r="B38" s="8" t="inlineStr">
        <is>
          <t>Complete tool box (with tools)</t>
        </is>
      </c>
      <c r="C38" s="9" t="n">
        <v>25</v>
      </c>
      <c r="D38" s="9" t="n">
        <v>0</v>
      </c>
      <c r="E38" s="9" t="n">
        <v>4</v>
      </c>
      <c r="F38" s="9">
        <f>IFERROR(MIN(C38,D38)*E38/C38,0)</f>
        <v/>
      </c>
      <c r="G38" s="9" t="n"/>
    </row>
    <row r="39">
      <c r="A39" s="19" t="inlineStr">
        <is>
          <t>Sum</t>
        </is>
      </c>
      <c r="B39" s="11" t="n"/>
      <c r="C39" s="11" t="n"/>
      <c r="D39" s="12" t="n"/>
      <c r="E39" s="19">
        <f>SUM(E16:E38)</f>
        <v/>
      </c>
      <c r="F39" s="19">
        <f>SUM(F16:F38)</f>
        <v/>
      </c>
      <c r="G39" s="13" t="n"/>
    </row>
    <row r="40">
      <c r="A40" s="19" t="inlineStr">
        <is>
          <t>Score out of 100</t>
        </is>
      </c>
      <c r="B40" s="11" t="n"/>
      <c r="C40" s="11" t="n"/>
      <c r="D40" s="11" t="n"/>
      <c r="E40" s="12" t="n"/>
      <c r="F40" s="19">
        <f>F39/E39*100</f>
        <v/>
      </c>
      <c r="G40" s="13" t="n"/>
    </row>
    <row r="41" ht="9.75" customHeight="1"/>
    <row r="42">
      <c r="A42" s="19" t="inlineStr">
        <is>
          <t xml:space="preserve">Total achieved points out of 30  </t>
        </is>
      </c>
      <c r="B42" s="11" t="n"/>
      <c r="C42" s="11" t="n"/>
      <c r="D42" s="11" t="n"/>
      <c r="E42" s="12" t="n"/>
      <c r="F42" s="19">
        <f>F40*30/100</f>
        <v/>
      </c>
      <c r="G42" s="19"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Beautification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Beautification</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Beautification,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Computers/Laptop</t>
        </is>
      </c>
      <c r="C16" s="9" t="n">
        <v>1</v>
      </c>
      <c r="D16" s="9" t="n">
        <v>0</v>
      </c>
      <c r="E16" s="9" t="n">
        <v>5</v>
      </c>
      <c r="F16" s="9">
        <f>IFERROR(MIN(C16,D16)*E16/C16,0)</f>
        <v/>
      </c>
      <c r="G16" s="9" t="n"/>
    </row>
    <row r="17" ht="14.15" customHeight="1">
      <c r="A17" s="18" t="n">
        <v>2</v>
      </c>
      <c r="B17" s="8" t="inlineStr">
        <is>
          <t>Multimedia projector with screen</t>
        </is>
      </c>
      <c r="C17" s="9" t="n">
        <v>1</v>
      </c>
      <c r="D17" s="9" t="n">
        <v>0</v>
      </c>
      <c r="E17" s="9" t="n">
        <v>5</v>
      </c>
      <c r="F17" s="9">
        <f>IFERROR(MIN(C17,D17)*E17/C17,0)</f>
        <v/>
      </c>
      <c r="G17" s="9" t="n"/>
    </row>
    <row r="18" ht="14.15" customHeight="1">
      <c r="A18" s="18" t="n">
        <v>3</v>
      </c>
      <c r="B18" s="8" t="inlineStr">
        <is>
          <t>Internet connectivity</t>
        </is>
      </c>
      <c r="C18" s="9" t="n">
        <v>1</v>
      </c>
      <c r="D18" s="9" t="n">
        <v>0</v>
      </c>
      <c r="E18" s="9" t="n">
        <v>5</v>
      </c>
      <c r="F18" s="9">
        <f>IFERROR(MIN(C18,D18)*E18/C18,0)</f>
        <v/>
      </c>
      <c r="G18" s="9" t="n"/>
    </row>
    <row r="19" ht="14.15" customHeight="1">
      <c r="A19" s="18" t="n">
        <v>4</v>
      </c>
      <c r="B19" s="8" t="inlineStr">
        <is>
          <t>Hair cutting chair</t>
        </is>
      </c>
      <c r="C19" s="9" t="n">
        <v>5</v>
      </c>
      <c r="D19" s="9" t="n">
        <v>0</v>
      </c>
      <c r="E19" s="9" t="n">
        <v>8</v>
      </c>
      <c r="F19" s="9">
        <f>IFERROR(MIN(C19,D19)*E19/C19,0)</f>
        <v/>
      </c>
      <c r="G19" s="9" t="n"/>
    </row>
    <row r="20" ht="14.15" customHeight="1">
      <c r="A20" s="18" t="n">
        <v>5</v>
      </c>
      <c r="B20" s="8" t="inlineStr">
        <is>
          <t>Facial bed</t>
        </is>
      </c>
      <c r="C20" s="9" t="n">
        <v>5</v>
      </c>
      <c r="D20" s="9" t="n">
        <v>0</v>
      </c>
      <c r="E20" s="9" t="n">
        <v>8</v>
      </c>
      <c r="F20" s="9">
        <f>IFERROR(MIN(C20,D20)*E20/C20,0)</f>
        <v/>
      </c>
      <c r="G20" s="9" t="n"/>
    </row>
    <row r="21" ht="14.15" customHeight="1">
      <c r="A21" s="18" t="n">
        <v>6</v>
      </c>
      <c r="B21" s="8" t="inlineStr">
        <is>
          <t>Manicure and pedicure table</t>
        </is>
      </c>
      <c r="C21" s="9" t="n">
        <v>5</v>
      </c>
      <c r="D21" s="9" t="n">
        <v>0</v>
      </c>
      <c r="E21" s="9" t="n">
        <v>8</v>
      </c>
      <c r="F21" s="9">
        <f>IFERROR(MIN(C21,D21)*E21/C21,0)</f>
        <v/>
      </c>
      <c r="G21" s="9" t="n"/>
    </row>
    <row r="22" ht="14.15" customHeight="1">
      <c r="A22" s="18" t="n">
        <v>7</v>
      </c>
      <c r="B22" s="8" t="inlineStr">
        <is>
          <t>Threading chair</t>
        </is>
      </c>
      <c r="C22" s="9" t="n">
        <v>5</v>
      </c>
      <c r="D22" s="9" t="n">
        <v>0</v>
      </c>
      <c r="E22" s="9" t="n">
        <v>7</v>
      </c>
      <c r="F22" s="9">
        <f>IFERROR(MIN(C22,D22)*E22/C22,0)</f>
        <v/>
      </c>
      <c r="G22" s="9" t="n"/>
    </row>
    <row r="23" ht="14.15" customHeight="1">
      <c r="A23" s="18" t="n">
        <v>8</v>
      </c>
      <c r="B23" s="8" t="inlineStr">
        <is>
          <t>Shampoo bed</t>
        </is>
      </c>
      <c r="C23" s="9" t="n">
        <v>2</v>
      </c>
      <c r="D23" s="9" t="n">
        <v>0</v>
      </c>
      <c r="E23" s="9" t="n">
        <v>7</v>
      </c>
      <c r="F23" s="9">
        <f>IFERROR(MIN(C23,D23)*E23/C23,0)</f>
        <v/>
      </c>
      <c r="G23" s="9" t="n"/>
    </row>
    <row r="24" ht="14.15" customHeight="1">
      <c r="A24" s="18" t="n">
        <v>9</v>
      </c>
      <c r="B24" s="8" t="inlineStr">
        <is>
          <t>Steam machine (face)</t>
        </is>
      </c>
      <c r="C24" s="9" t="n">
        <v>5</v>
      </c>
      <c r="D24" s="9" t="n">
        <v>0</v>
      </c>
      <c r="E24" s="9" t="n">
        <v>8</v>
      </c>
      <c r="F24" s="9">
        <f>IFERROR(MIN(C24,D24)*E24/C24,0)</f>
        <v/>
      </c>
      <c r="G24" s="9" t="n"/>
    </row>
    <row r="25" ht="14.15" customHeight="1">
      <c r="A25" s="18" t="n">
        <v>10</v>
      </c>
      <c r="B25" s="8" t="inlineStr">
        <is>
          <t>Steam machine (hair)</t>
        </is>
      </c>
      <c r="C25" s="9" t="n">
        <v>2</v>
      </c>
      <c r="D25" s="9" t="n">
        <v>0</v>
      </c>
      <c r="E25" s="9" t="n">
        <v>8</v>
      </c>
      <c r="F25" s="9">
        <f>IFERROR(MIN(C25,D25)*E25/C25,0)</f>
        <v/>
      </c>
      <c r="G25" s="9" t="n"/>
    </row>
    <row r="26" ht="14.15" customHeight="1">
      <c r="A26" s="18" t="n">
        <v>11</v>
      </c>
      <c r="B26" s="8" t="inlineStr">
        <is>
          <t>Hair dryer</t>
        </is>
      </c>
      <c r="C26" s="9" t="n">
        <v>5</v>
      </c>
      <c r="D26" s="9" t="n">
        <v>0</v>
      </c>
      <c r="E26" s="9" t="n">
        <v>7</v>
      </c>
      <c r="F26" s="9">
        <f>IFERROR(MIN(C26,D26)*E26/C26,0)</f>
        <v/>
      </c>
      <c r="G26" s="9" t="n"/>
    </row>
    <row r="27" ht="14.15" customHeight="1">
      <c r="A27" s="18" t="n">
        <v>12</v>
      </c>
      <c r="B27" s="8" t="inlineStr">
        <is>
          <t>Hair straightener</t>
        </is>
      </c>
      <c r="C27" s="9" t="n">
        <v>5</v>
      </c>
      <c r="D27" s="9" t="n">
        <v>0</v>
      </c>
      <c r="E27" s="9" t="n">
        <v>7</v>
      </c>
      <c r="F27" s="9">
        <f>IFERROR(MIN(C27,D27)*E27/C27,0)</f>
        <v/>
      </c>
      <c r="G27" s="9" t="n"/>
    </row>
    <row r="28" ht="14.15" customHeight="1">
      <c r="A28" s="18" t="n">
        <v>13</v>
      </c>
      <c r="B28" s="8" t="inlineStr">
        <is>
          <t>Curl/tong</t>
        </is>
      </c>
      <c r="C28" s="9" t="n">
        <v>5</v>
      </c>
      <c r="D28" s="9" t="n">
        <v>0</v>
      </c>
      <c r="E28" s="9" t="n">
        <v>6</v>
      </c>
      <c r="F28" s="9">
        <f>IFERROR(MIN(C28,D28)*E28/C28,0)</f>
        <v/>
      </c>
      <c r="G28" s="9" t="n"/>
    </row>
    <row r="29" ht="14.15" customHeight="1">
      <c r="A29" s="18" t="n">
        <v>14</v>
      </c>
      <c r="B29" s="8" t="inlineStr">
        <is>
          <t>Scissors</t>
        </is>
      </c>
      <c r="C29" s="9" t="n">
        <v>25</v>
      </c>
      <c r="D29" s="9" t="n">
        <v>0</v>
      </c>
      <c r="E29" s="9" t="n">
        <v>4</v>
      </c>
      <c r="F29" s="9">
        <f>IFERROR(MIN(C29,D29)*E29/C29,0)</f>
        <v/>
      </c>
      <c r="G29" s="9" t="n"/>
    </row>
    <row r="30" ht="14.15" customHeight="1">
      <c r="A30" s="18" t="n">
        <v>15</v>
      </c>
      <c r="B30" s="8" t="inlineStr">
        <is>
          <t>Crimper</t>
        </is>
      </c>
      <c r="C30" s="9" t="n">
        <v>2</v>
      </c>
      <c r="D30" s="9" t="n">
        <v>0</v>
      </c>
      <c r="E30" s="9" t="n">
        <v>6</v>
      </c>
      <c r="F30" s="9">
        <f>IFERROR(MIN(C30,D30)*E30/C30,0)</f>
        <v/>
      </c>
      <c r="G30" s="9" t="n"/>
    </row>
    <row r="31" ht="14.15" customHeight="1">
      <c r="A31" s="18" t="n">
        <v>16</v>
      </c>
      <c r="B31" s="8" t="inlineStr">
        <is>
          <t>Facial machine (3 in one)</t>
        </is>
      </c>
      <c r="C31" s="9" t="n">
        <v>2</v>
      </c>
      <c r="D31" s="9" t="n">
        <v>0</v>
      </c>
      <c r="E31" s="9" t="n">
        <v>9</v>
      </c>
      <c r="F31" s="9">
        <f>IFERROR(MIN(C31,D31)*E31/C31,0)</f>
        <v/>
      </c>
      <c r="G31" s="9" t="n"/>
    </row>
    <row r="32" ht="14.15" customHeight="1">
      <c r="A32" s="18" t="n">
        <v>17</v>
      </c>
      <c r="B32" s="8" t="inlineStr">
        <is>
          <t>Wax heater</t>
        </is>
      </c>
      <c r="C32" s="9" t="n">
        <v>5</v>
      </c>
      <c r="D32" s="9" t="n">
        <v>0</v>
      </c>
      <c r="E32" s="9" t="n">
        <v>7</v>
      </c>
      <c r="F32" s="9">
        <f>IFERROR(MIN(C32,D32)*E32/C32,0)</f>
        <v/>
      </c>
      <c r="G32" s="9" t="n"/>
    </row>
    <row r="33" ht="14.15" customHeight="1">
      <c r="A33" s="18" t="n">
        <v>18</v>
      </c>
      <c r="B33" s="8" t="inlineStr">
        <is>
          <t>Piercing gun</t>
        </is>
      </c>
      <c r="C33" s="9" t="n">
        <v>2</v>
      </c>
      <c r="D33" s="9" t="n">
        <v>0</v>
      </c>
      <c r="E33" s="9" t="n">
        <v>6</v>
      </c>
      <c r="F33" s="9">
        <f>IFERROR(MIN(C33,D33)*E33/C33,0)</f>
        <v/>
      </c>
      <c r="G33" s="9" t="n"/>
    </row>
    <row r="34">
      <c r="A34" s="19" t="inlineStr">
        <is>
          <t>Sum</t>
        </is>
      </c>
      <c r="B34" s="11" t="n"/>
      <c r="C34" s="11" t="n"/>
      <c r="D34" s="12" t="n"/>
      <c r="E34" s="19">
        <f>SUM(E16:E33)</f>
        <v/>
      </c>
      <c r="F34" s="19">
        <f>SUM(F16:F33)</f>
        <v/>
      </c>
      <c r="G34" s="13" t="n"/>
    </row>
    <row r="35">
      <c r="A35" s="19" t="inlineStr">
        <is>
          <t>Score out of 100</t>
        </is>
      </c>
      <c r="B35" s="11" t="n"/>
      <c r="C35" s="11" t="n"/>
      <c r="D35" s="11" t="n"/>
      <c r="E35" s="12" t="n"/>
      <c r="F35" s="19">
        <f>F34/E34*100</f>
        <v/>
      </c>
      <c r="G35" s="13" t="n"/>
    </row>
    <row r="36" ht="9.75" customHeight="1"/>
    <row r="37">
      <c r="A37" s="19" t="inlineStr">
        <is>
          <t xml:space="preserve">Total achieved points out of 30  </t>
        </is>
      </c>
      <c r="B37" s="11" t="n"/>
      <c r="C37" s="11" t="n"/>
      <c r="D37" s="11" t="n"/>
      <c r="E37" s="12" t="n"/>
      <c r="F37" s="19">
        <f>F35*30/100</f>
        <v/>
      </c>
      <c r="G37" s="19"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Electrical Installation &amp; Maintenance (Construction)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Electrical Installation &amp; Maintenance (Construction)</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Electrical Installation &amp; Maintenance (Construction),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Computer/Laptops</t>
        </is>
      </c>
      <c r="C16" s="9" t="n">
        <v>1</v>
      </c>
      <c r="D16" s="9" t="n">
        <v>0</v>
      </c>
      <c r="E16" s="9" t="n">
        <v>5</v>
      </c>
      <c r="F16" s="9">
        <f>IFERROR(MIN(C16,D16)*E16/C16,0)</f>
        <v/>
      </c>
      <c r="G16" s="9" t="n"/>
    </row>
    <row r="17" ht="14.15" customHeight="1">
      <c r="A17" s="18" t="n">
        <v>2</v>
      </c>
      <c r="B17" s="8" t="inlineStr">
        <is>
          <t>Multimedia projector &amp; screen</t>
        </is>
      </c>
      <c r="C17" s="9" t="n">
        <v>1</v>
      </c>
      <c r="D17" s="9" t="n">
        <v>0</v>
      </c>
      <c r="E17" s="9" t="n">
        <v>5</v>
      </c>
      <c r="F17" s="9">
        <f>IFERROR(MIN(C17,D17)*E17/C17,0)</f>
        <v/>
      </c>
      <c r="G17" s="9" t="n"/>
    </row>
    <row r="18" ht="14.15" customHeight="1">
      <c r="A18" s="18" t="n">
        <v>3</v>
      </c>
      <c r="B18" s="8" t="inlineStr">
        <is>
          <t>Channel wiring practice board/booth</t>
        </is>
      </c>
      <c r="C18" s="9" t="n">
        <v>25</v>
      </c>
      <c r="D18" s="9" t="n">
        <v>0</v>
      </c>
      <c r="E18" s="9" t="n">
        <v>8</v>
      </c>
      <c r="F18" s="9">
        <f>IFERROR(MIN(C18,D18)*E18/C18,0)</f>
        <v/>
      </c>
      <c r="G18" s="9" t="n"/>
    </row>
    <row r="19" ht="14.15" customHeight="1">
      <c r="A19" s="18" t="n">
        <v>4</v>
      </c>
      <c r="B19" s="8" t="inlineStr">
        <is>
          <t>Concealed wiring practice booth/wall</t>
        </is>
      </c>
      <c r="C19" s="9" t="n">
        <v>5</v>
      </c>
      <c r="D19" s="9" t="n">
        <v>0</v>
      </c>
      <c r="E19" s="9" t="n">
        <v>8</v>
      </c>
      <c r="F19" s="9">
        <f>IFERROR(MIN(C19,D19)*E19/C19,0)</f>
        <v/>
      </c>
      <c r="G19" s="9" t="n"/>
    </row>
    <row r="20" ht="14.15" customHeight="1">
      <c r="A20" s="18" t="n">
        <v>5</v>
      </c>
      <c r="B20" s="8" t="inlineStr">
        <is>
          <t>Main Distribution Board with busbar, CB and other accessories (Training model)</t>
        </is>
      </c>
      <c r="C20" s="9" t="n">
        <v>5</v>
      </c>
      <c r="D20" s="9" t="n">
        <v>0</v>
      </c>
      <c r="E20" s="9" t="n">
        <v>8</v>
      </c>
      <c r="F20" s="9">
        <f>IFERROR(MIN(C20,D20)*E20/C20,0)</f>
        <v/>
      </c>
      <c r="G20" s="9" t="n"/>
    </row>
    <row r="21" ht="14.15" customHeight="1">
      <c r="A21" s="18" t="n">
        <v>6</v>
      </c>
      <c r="B21" s="8" t="inlineStr">
        <is>
          <t>Sub Distribution Board with busbar, CB and other accessories (Training model)</t>
        </is>
      </c>
      <c r="C21" s="9" t="n">
        <v>5</v>
      </c>
      <c r="D21" s="9" t="n">
        <v>0</v>
      </c>
      <c r="E21" s="9" t="n">
        <v>8</v>
      </c>
      <c r="F21" s="9">
        <f>IFERROR(MIN(C21,D21)*E21/C21,0)</f>
        <v/>
      </c>
      <c r="G21" s="9" t="n"/>
    </row>
    <row r="22" ht="14.15" customHeight="1">
      <c r="A22" s="18" t="n">
        <v>7</v>
      </c>
      <c r="B22" s="8" t="inlineStr">
        <is>
          <t>DOL Starter</t>
        </is>
      </c>
      <c r="C22" s="9" t="n">
        <v>10</v>
      </c>
      <c r="D22" s="9" t="n">
        <v>0</v>
      </c>
      <c r="E22" s="9" t="n">
        <v>7</v>
      </c>
      <c r="F22" s="9">
        <f>IFERROR(MIN(C22,D22)*E22/C22,0)</f>
        <v/>
      </c>
      <c r="G22" s="9" t="n"/>
    </row>
    <row r="23" ht="14.15" customHeight="1">
      <c r="A23" s="18" t="n">
        <v>8</v>
      </c>
      <c r="B23" s="8" t="inlineStr">
        <is>
          <t>Generator (2 to 5 KW)</t>
        </is>
      </c>
      <c r="C23" s="9" t="n">
        <v>1</v>
      </c>
      <c r="D23" s="9" t="n">
        <v>0</v>
      </c>
      <c r="E23" s="9" t="n">
        <v>8</v>
      </c>
      <c r="F23" s="9">
        <f>IFERROR(MIN(C23,D23)*E23/C23,0)</f>
        <v/>
      </c>
      <c r="G23" s="9" t="n"/>
    </row>
    <row r="24" ht="14.15" customHeight="1">
      <c r="A24" s="18" t="n">
        <v>9</v>
      </c>
      <c r="B24" s="8" t="inlineStr">
        <is>
          <t>ATS</t>
        </is>
      </c>
      <c r="C24" s="9" t="n">
        <v>3</v>
      </c>
      <c r="D24" s="9" t="n">
        <v>0</v>
      </c>
      <c r="E24" s="9" t="n">
        <v>6</v>
      </c>
      <c r="F24" s="9">
        <f>IFERROR(MIN(C24,D24)*E24/C24,0)</f>
        <v/>
      </c>
      <c r="G24" s="9" t="n"/>
    </row>
    <row r="25" ht="14.15" customHeight="1">
      <c r="A25" s="18" t="n">
        <v>10</v>
      </c>
      <c r="B25" s="8" t="inlineStr">
        <is>
          <t>Changeover switch</t>
        </is>
      </c>
      <c r="C25" s="9" t="n">
        <v>3</v>
      </c>
      <c r="D25" s="9" t="n">
        <v>0</v>
      </c>
      <c r="E25" s="9" t="n">
        <v>5</v>
      </c>
      <c r="F25" s="9">
        <f>IFERROR(MIN(C25,D25)*E25/C25,0)</f>
        <v/>
      </c>
      <c r="G25" s="9" t="n"/>
    </row>
    <row r="26" ht="14.15" customHeight="1">
      <c r="A26" s="18" t="n">
        <v>11</v>
      </c>
      <c r="B26" s="8" t="inlineStr">
        <is>
          <t>Solar power system (Solar panel, battery, charge controller and load)</t>
        </is>
      </c>
      <c r="C26" s="9" t="n">
        <v>5</v>
      </c>
      <c r="D26" s="9" t="n">
        <v>0</v>
      </c>
      <c r="E26" s="9" t="n">
        <v>8</v>
      </c>
      <c r="F26" s="9">
        <f>IFERROR(MIN(C26,D26)*E26/C26,0)</f>
        <v/>
      </c>
      <c r="G26" s="9" t="n"/>
    </row>
    <row r="27" ht="14.15" customHeight="1">
      <c r="A27" s="18" t="n">
        <v>12</v>
      </c>
      <c r="B27" s="8" t="inlineStr">
        <is>
          <t>Electric drill machine</t>
        </is>
      </c>
      <c r="C27" s="9" t="n">
        <v>10</v>
      </c>
      <c r="D27" s="9" t="n">
        <v>0</v>
      </c>
      <c r="E27" s="9" t="n">
        <v>5</v>
      </c>
      <c r="F27" s="9">
        <f>IFERROR(MIN(C27,D27)*E27/C27,0)</f>
        <v/>
      </c>
      <c r="G27" s="9" t="n"/>
    </row>
    <row r="28" ht="14.15" customHeight="1">
      <c r="A28" s="18" t="n">
        <v>13</v>
      </c>
      <c r="B28" s="8" t="inlineStr">
        <is>
          <t>Electric grinding machine</t>
        </is>
      </c>
      <c r="C28" s="9" t="n">
        <v>10</v>
      </c>
      <c r="D28" s="9" t="n">
        <v>0</v>
      </c>
      <c r="E28" s="9" t="n">
        <v>5</v>
      </c>
      <c r="F28" s="9">
        <f>IFERROR(MIN(C28,D28)*E28/C28,0)</f>
        <v/>
      </c>
      <c r="G28" s="9" t="n"/>
    </row>
    <row r="29" ht="14.15" customHeight="1">
      <c r="A29" s="18" t="n">
        <v>14</v>
      </c>
      <c r="B29" s="8" t="inlineStr">
        <is>
          <t>Energy Meter (1 Phase)</t>
        </is>
      </c>
      <c r="C29" s="9" t="n">
        <v>10</v>
      </c>
      <c r="D29" s="9" t="n">
        <v>0</v>
      </c>
      <c r="E29" s="9" t="n">
        <v>6</v>
      </c>
      <c r="F29" s="9">
        <f>IFERROR(MIN(C29,D29)*E29/C29,0)</f>
        <v/>
      </c>
      <c r="G29" s="9" t="n"/>
    </row>
    <row r="30" ht="14.15" customHeight="1">
      <c r="A30" s="18" t="n">
        <v>15</v>
      </c>
      <c r="B30" s="8" t="inlineStr">
        <is>
          <t>Energy Meter (3 Phase)</t>
        </is>
      </c>
      <c r="C30" s="9" t="n">
        <v>5</v>
      </c>
      <c r="D30" s="9" t="n">
        <v>0</v>
      </c>
      <c r="E30" s="9" t="n">
        <v>6</v>
      </c>
      <c r="F30" s="9">
        <f>IFERROR(MIN(C30,D30)*E30/C30,0)</f>
        <v/>
      </c>
      <c r="G30" s="9" t="n"/>
    </row>
    <row r="31" ht="14.15" customHeight="1">
      <c r="A31" s="18" t="n">
        <v>16</v>
      </c>
      <c r="B31" s="8" t="inlineStr">
        <is>
          <t>Earth tester</t>
        </is>
      </c>
      <c r="C31" s="9" t="n">
        <v>2</v>
      </c>
      <c r="D31" s="9" t="n">
        <v>0</v>
      </c>
      <c r="E31" s="9" t="n">
        <v>6</v>
      </c>
      <c r="F31" s="9">
        <f>IFERROR(MIN(C31,D31)*E31/C31,0)</f>
        <v/>
      </c>
      <c r="G31" s="9" t="n"/>
    </row>
    <row r="32" ht="14.15" customHeight="1">
      <c r="A32" s="18" t="n">
        <v>17</v>
      </c>
      <c r="B32" s="8" t="inlineStr">
        <is>
          <t>Megger</t>
        </is>
      </c>
      <c r="C32" s="9" t="n">
        <v>2</v>
      </c>
      <c r="D32" s="9" t="n">
        <v>0</v>
      </c>
      <c r="E32" s="9" t="n">
        <v>6</v>
      </c>
      <c r="F32" s="9">
        <f>IFERROR(MIN(C32,D32)*E32/C32,0)</f>
        <v/>
      </c>
      <c r="G32" s="9" t="n"/>
    </row>
    <row r="33" ht="14.15" customHeight="1">
      <c r="A33" s="18" t="n">
        <v>18</v>
      </c>
      <c r="B33" s="8" t="inlineStr">
        <is>
          <t>Phase sequence meter</t>
        </is>
      </c>
      <c r="C33" s="9" t="n">
        <v>1</v>
      </c>
      <c r="D33" s="9" t="n">
        <v>0</v>
      </c>
      <c r="E33" s="9" t="n">
        <v>5</v>
      </c>
      <c r="F33" s="9">
        <f>IFERROR(MIN(C33,D33)*E33/C33,0)</f>
        <v/>
      </c>
      <c r="G33" s="9" t="n"/>
    </row>
    <row r="34" ht="14.15" customHeight="1">
      <c r="A34" s="18" t="n">
        <v>19</v>
      </c>
      <c r="B34" s="8" t="inlineStr">
        <is>
          <t>Single phase induction motor</t>
        </is>
      </c>
      <c r="C34" s="9" t="n">
        <v>5</v>
      </c>
      <c r="D34" s="9" t="n">
        <v>0</v>
      </c>
      <c r="E34" s="9" t="n">
        <v>7</v>
      </c>
      <c r="F34" s="9">
        <f>IFERROR(MIN(C34,D34)*E34/C34,0)</f>
        <v/>
      </c>
      <c r="G34" s="9" t="n"/>
    </row>
    <row r="35" ht="14.15" customHeight="1">
      <c r="A35" s="18" t="n">
        <v>20</v>
      </c>
      <c r="B35" s="8" t="inlineStr">
        <is>
          <t>Three phase induction motor</t>
        </is>
      </c>
      <c r="C35" s="9" t="n">
        <v>3</v>
      </c>
      <c r="D35" s="9" t="n">
        <v>0</v>
      </c>
      <c r="E35" s="9" t="n">
        <v>7</v>
      </c>
      <c r="F35" s="9">
        <f>IFERROR(MIN(C35,D35)*E35/C35,0)</f>
        <v/>
      </c>
      <c r="G35" s="9" t="n"/>
    </row>
    <row r="36" ht="14.15" customHeight="1">
      <c r="A36" s="18" t="n">
        <v>21</v>
      </c>
      <c r="B36" s="8" t="inlineStr">
        <is>
          <t>Ceiling fan</t>
        </is>
      </c>
      <c r="C36" s="9" t="n">
        <v>5</v>
      </c>
      <c r="D36" s="9" t="n">
        <v>0</v>
      </c>
      <c r="E36" s="9" t="n">
        <v>4</v>
      </c>
      <c r="F36" s="9">
        <f>IFERROR(MIN(C36,D36)*E36/C36,0)</f>
        <v/>
      </c>
      <c r="G36" s="9" t="n"/>
    </row>
    <row r="37" ht="14.15" customHeight="1">
      <c r="A37" s="18" t="n">
        <v>22</v>
      </c>
      <c r="B37" s="8" t="inlineStr">
        <is>
          <t>Pump Motor</t>
        </is>
      </c>
      <c r="C37" s="9" t="n">
        <v>2</v>
      </c>
      <c r="D37" s="9" t="n">
        <v>0</v>
      </c>
      <c r="E37" s="9" t="n">
        <v>6</v>
      </c>
      <c r="F37" s="9">
        <f>IFERROR(MIN(C37,D37)*E37/C37,0)</f>
        <v/>
      </c>
      <c r="G37" s="9" t="n"/>
    </row>
    <row r="38" ht="14.15" customHeight="1">
      <c r="A38" s="18" t="n">
        <v>23</v>
      </c>
      <c r="B38" s="8" t="inlineStr">
        <is>
          <t>Bench Vice</t>
        </is>
      </c>
      <c r="C38" s="9" t="n">
        <v>5</v>
      </c>
      <c r="D38" s="9" t="n">
        <v>0</v>
      </c>
      <c r="E38" s="9" t="n">
        <v>4</v>
      </c>
      <c r="F38" s="9">
        <f>IFERROR(MIN(C38,D38)*E38/C38,0)</f>
        <v/>
      </c>
      <c r="G38" s="9" t="n"/>
    </row>
    <row r="39">
      <c r="A39" s="19" t="inlineStr">
        <is>
          <t>Sum</t>
        </is>
      </c>
      <c r="B39" s="11" t="n"/>
      <c r="C39" s="11" t="n"/>
      <c r="D39" s="12" t="n"/>
      <c r="E39" s="19">
        <f>SUM(E16:E38)</f>
        <v/>
      </c>
      <c r="F39" s="19">
        <f>SUM(F16:F38)</f>
        <v/>
      </c>
      <c r="G39" s="13" t="n"/>
    </row>
    <row r="40">
      <c r="A40" s="19" t="inlineStr">
        <is>
          <t>Score out of 100</t>
        </is>
      </c>
      <c r="B40" s="11" t="n"/>
      <c r="C40" s="11" t="n"/>
      <c r="D40" s="11" t="n"/>
      <c r="E40" s="12" t="n"/>
      <c r="F40" s="19">
        <f>F39/E39*100</f>
        <v/>
      </c>
      <c r="G40" s="13" t="n"/>
    </row>
    <row r="41" ht="9.75" customHeight="1"/>
    <row r="42">
      <c r="A42" s="19" t="inlineStr">
        <is>
          <t xml:space="preserve">Total achieved points out of 30  </t>
        </is>
      </c>
      <c r="B42" s="11" t="n"/>
      <c r="C42" s="11" t="n"/>
      <c r="D42" s="11" t="n"/>
      <c r="E42" s="12" t="n"/>
      <c r="F42" s="19">
        <f>F40*30/100</f>
        <v/>
      </c>
      <c r="G42" s="19" t="inlineStr">
        <is>
          <t>Points</t>
        </is>
      </c>
    </row>
    <row r="43" ht="28.3" customHeight="1">
      <c r="A43" s="5" t="inlineStr">
        <is>
          <t>* For this course, the institute should have at least 15 channel wiring boards/booths and 3 concealed wiring booths. Otherwise, the total points achieved will be halved.</t>
        </is>
      </c>
    </row>
  </sheetData>
  <mergeCells count="9">
    <mergeCell ref="A13:G13"/>
    <mergeCell ref="C7:G7"/>
    <mergeCell ref="A1:G1"/>
    <mergeCell ref="A42:E42"/>
    <mergeCell ref="A39:D39"/>
    <mergeCell ref="A43:G43"/>
    <mergeCell ref="A41:G41"/>
    <mergeCell ref="C8:G8"/>
    <mergeCell ref="A40:E4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Fashion Garments</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Fashion Garments</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Fashion Garments,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 Laptop</t>
        </is>
      </c>
      <c r="C16" s="9" t="n">
        <v>1</v>
      </c>
      <c r="D16" s="9" t="n">
        <v>0</v>
      </c>
      <c r="E16" s="9" t="n">
        <v>5</v>
      </c>
      <c r="F16" s="9">
        <f>IFERROR(MIN(C16,D16)*E16/C16,0)</f>
        <v/>
      </c>
      <c r="G16" s="9" t="n"/>
    </row>
    <row r="17" ht="14.15" customHeight="1">
      <c r="A17" s="18" t="n">
        <v>2</v>
      </c>
      <c r="B17" s="8" t="inlineStr">
        <is>
          <t>Multimedia Projector</t>
        </is>
      </c>
      <c r="C17" s="9" t="n">
        <v>1</v>
      </c>
      <c r="D17" s="9" t="n">
        <v>0</v>
      </c>
      <c r="E17" s="9" t="n">
        <v>8</v>
      </c>
      <c r="F17" s="9">
        <f>IFERROR(MIN(C17,D17)*E17/C17,0)</f>
        <v/>
      </c>
      <c r="G17" s="9" t="n"/>
    </row>
    <row r="18" ht="14.15" customHeight="1">
      <c r="A18" s="18" t="n">
        <v>3</v>
      </c>
      <c r="B18" s="8" t="inlineStr">
        <is>
          <t>Table for Printing</t>
        </is>
      </c>
      <c r="C18" s="9" t="n">
        <v>3</v>
      </c>
      <c r="D18" s="9" t="n">
        <v>0</v>
      </c>
      <c r="E18" s="9" t="n">
        <v>10</v>
      </c>
      <c r="F18" s="9">
        <f>IFERROR(MIN(C18,D18)*E18/C18,0)</f>
        <v/>
      </c>
      <c r="G18" s="9" t="n"/>
    </row>
    <row r="19" ht="14.15" customHeight="1">
      <c r="A19" s="18" t="n">
        <v>4</v>
      </c>
      <c r="B19" s="8" t="inlineStr">
        <is>
          <t>Fabric Cutting Table</t>
        </is>
      </c>
      <c r="C19" s="9" t="n">
        <v>2</v>
      </c>
      <c r="D19" s="9" t="n">
        <v>0</v>
      </c>
      <c r="E19" s="9" t="n">
        <v>8</v>
      </c>
      <c r="F19" s="9">
        <f>IFERROR(MIN(C19,D19)*E19/C19,0)</f>
        <v/>
      </c>
      <c r="G19" s="9" t="n"/>
    </row>
    <row r="20" ht="14.15" customHeight="1">
      <c r="A20" s="18" t="n">
        <v>5</v>
      </c>
      <c r="B20" s="8" t="inlineStr">
        <is>
          <t>Pattern Making Table</t>
        </is>
      </c>
      <c r="C20" s="9" t="n">
        <v>2</v>
      </c>
      <c r="D20" s="9" t="n">
        <v>0</v>
      </c>
      <c r="E20" s="9" t="n">
        <v>10</v>
      </c>
      <c r="F20" s="9">
        <f>IFERROR(MIN(C20,D20)*E20/C20,0)</f>
        <v/>
      </c>
      <c r="G20" s="9" t="n"/>
    </row>
    <row r="21" ht="14.15" customHeight="1">
      <c r="A21" s="18" t="n">
        <v>6</v>
      </c>
      <c r="B21" s="8" t="inlineStr">
        <is>
          <t>Mannequin doll (Child, male and female)</t>
        </is>
      </c>
      <c r="C21" s="9" t="n">
        <v>3</v>
      </c>
      <c r="D21" s="9" t="n">
        <v>0</v>
      </c>
      <c r="E21" s="9" t="n">
        <v>8</v>
      </c>
      <c r="F21" s="9">
        <f>IFERROR(MIN(C21,D21)*E21/C21,0)</f>
        <v/>
      </c>
      <c r="G21" s="9" t="n"/>
    </row>
    <row r="22" ht="14.15" customHeight="1">
      <c r="A22" s="18" t="n">
        <v>7</v>
      </c>
      <c r="B22" s="8" t="inlineStr">
        <is>
          <t>Sample Fashion Garments Product</t>
        </is>
      </c>
      <c r="C22" s="9" t="n">
        <v>15</v>
      </c>
      <c r="D22" s="9" t="n">
        <v>0</v>
      </c>
      <c r="E22" s="9" t="n">
        <v>10</v>
      </c>
      <c r="F22" s="9">
        <f>IFERROR(MIN(C22,D22)*E22/C22,0)</f>
        <v/>
      </c>
      <c r="G22" s="9" t="n"/>
    </row>
    <row r="23" ht="14.15" customHeight="1">
      <c r="A23" s="18" t="n">
        <v>8</v>
      </c>
      <c r="B23" s="8" t="inlineStr">
        <is>
          <t>Sample Technical Package</t>
        </is>
      </c>
      <c r="C23" s="9" t="n">
        <v>5</v>
      </c>
      <c r="D23" s="9" t="n">
        <v>0</v>
      </c>
      <c r="E23" s="9" t="n">
        <v>5</v>
      </c>
      <c r="F23" s="9">
        <f>IFERROR(MIN(C23,D23)*E23/C23,0)</f>
        <v/>
      </c>
      <c r="G23" s="9" t="n"/>
    </row>
    <row r="24" ht="14.15" customHeight="1">
      <c r="A24" s="18" t="n">
        <v>9</v>
      </c>
      <c r="B24" s="8" t="inlineStr">
        <is>
          <t>Sample Motif and Embellishment</t>
        </is>
      </c>
      <c r="C24" s="9" t="n">
        <v>15</v>
      </c>
      <c r="D24" s="9" t="n">
        <v>0</v>
      </c>
      <c r="E24" s="9" t="n">
        <v>5</v>
      </c>
      <c r="F24" s="9">
        <f>IFERROR(MIN(C24,D24)*E24/C24,0)</f>
        <v/>
      </c>
      <c r="G24" s="9" t="n"/>
    </row>
    <row r="25" ht="14.15" customHeight="1">
      <c r="A25" s="18" t="n">
        <v>10</v>
      </c>
      <c r="B25" s="8" t="inlineStr">
        <is>
          <t>Sets of Pattern Making Curves</t>
        </is>
      </c>
      <c r="C25" s="9" t="n">
        <v>25</v>
      </c>
      <c r="D25" s="9" t="n">
        <v>0</v>
      </c>
      <c r="E25" s="9" t="n">
        <v>8</v>
      </c>
      <c r="F25" s="9">
        <f>IFERROR(MIN(C25,D25)*E25/C25,0)</f>
        <v/>
      </c>
      <c r="G25" s="9" t="n"/>
    </row>
    <row r="26" ht="14.15" customHeight="1">
      <c r="A26" s="18" t="n">
        <v>11</v>
      </c>
      <c r="B26" s="8" t="inlineStr">
        <is>
          <t>Tracing Wheels</t>
        </is>
      </c>
      <c r="C26" s="9" t="n">
        <v>25</v>
      </c>
      <c r="D26" s="9" t="n">
        <v>0</v>
      </c>
      <c r="E26" s="9" t="n">
        <v>8</v>
      </c>
      <c r="F26" s="9">
        <f>IFERROR(MIN(C26,D26)*E26/C26,0)</f>
        <v/>
      </c>
      <c r="G26" s="9" t="n"/>
    </row>
    <row r="27" ht="14.15" customHeight="1">
      <c r="A27" s="18" t="n">
        <v>12</v>
      </c>
      <c r="B27" s="8" t="inlineStr">
        <is>
          <t>Hoops and Frames Set</t>
        </is>
      </c>
      <c r="C27" s="9" t="n">
        <v>25</v>
      </c>
      <c r="D27" s="9" t="n">
        <v>0</v>
      </c>
      <c r="E27" s="9" t="n">
        <v>10</v>
      </c>
      <c r="F27" s="9">
        <f>IFERROR(MIN(C27,D27)*E27/C27,0)</f>
        <v/>
      </c>
      <c r="G27" s="9" t="n"/>
    </row>
    <row r="28" ht="14.15" customHeight="1">
      <c r="A28" s="18" t="n">
        <v>13</v>
      </c>
      <c r="B28" s="8" t="inlineStr">
        <is>
          <t>Embroidery Machine</t>
        </is>
      </c>
      <c r="C28" s="9" t="n">
        <v>2</v>
      </c>
      <c r="D28" s="9" t="n">
        <v>0</v>
      </c>
      <c r="E28" s="9" t="n">
        <v>10</v>
      </c>
      <c r="F28" s="9">
        <f>IFERROR(MIN(C28,D28)*E28/C28,0)</f>
        <v/>
      </c>
      <c r="G28" s="9" t="n"/>
    </row>
    <row r="29" ht="14.15" customHeight="1">
      <c r="A29" s="18" t="n">
        <v>14</v>
      </c>
      <c r="B29" s="8" t="inlineStr">
        <is>
          <t>Different Dices for Block for Printing</t>
        </is>
      </c>
      <c r="C29" s="9" t="n">
        <v>25</v>
      </c>
      <c r="D29" s="9" t="n">
        <v>0</v>
      </c>
      <c r="E29" s="9" t="n">
        <v>10</v>
      </c>
      <c r="F29" s="9">
        <f>IFERROR(MIN(C29,D29)*E29/C29,0)</f>
        <v/>
      </c>
      <c r="G29" s="9" t="n"/>
    </row>
    <row r="30" ht="14.15" customHeight="1">
      <c r="A30" s="18" t="n">
        <v>15</v>
      </c>
      <c r="B30" s="8" t="inlineStr">
        <is>
          <t>Different Screen for Printing</t>
        </is>
      </c>
      <c r="C30" s="9" t="n">
        <v>15</v>
      </c>
      <c r="D30" s="9" t="n">
        <v>0</v>
      </c>
      <c r="E30" s="9" t="n">
        <v>10</v>
      </c>
      <c r="F30" s="9">
        <f>IFERROR(MIN(C30,D30)*E30/C30,0)</f>
        <v/>
      </c>
      <c r="G30" s="9" t="n"/>
    </row>
    <row r="31" ht="14.15" customHeight="1">
      <c r="A31" s="18" t="n">
        <v>16</v>
      </c>
      <c r="B31" s="8" t="inlineStr">
        <is>
          <t>Burner for Dyeing and Printing</t>
        </is>
      </c>
      <c r="C31" s="9" t="n">
        <v>2</v>
      </c>
      <c r="D31" s="9" t="n">
        <v>0</v>
      </c>
      <c r="E31" s="9" t="n">
        <v>8</v>
      </c>
      <c r="F31" s="9">
        <f>IFERROR(MIN(C31,D31)*E31/C31,0)</f>
        <v/>
      </c>
      <c r="G31" s="9" t="n"/>
    </row>
    <row r="32" ht="14.15" customHeight="1">
      <c r="A32" s="18" t="n">
        <v>17</v>
      </c>
      <c r="B32" s="8" t="inlineStr">
        <is>
          <t>Fabric Cutting Scissor (6-10 inches)</t>
        </is>
      </c>
      <c r="C32" s="9" t="n">
        <v>5</v>
      </c>
      <c r="D32" s="9" t="n">
        <v>0</v>
      </c>
      <c r="E32" s="9" t="n">
        <v>8</v>
      </c>
      <c r="F32" s="9">
        <f>IFERROR(MIN(C32,D32)*E32/C32,0)</f>
        <v/>
      </c>
      <c r="G32" s="9" t="n"/>
    </row>
    <row r="33" ht="14.15" customHeight="1">
      <c r="A33" s="18" t="n">
        <v>18</v>
      </c>
      <c r="B33" s="8" t="inlineStr">
        <is>
          <t>Straight Knife</t>
        </is>
      </c>
      <c r="C33" s="9" t="n">
        <v>1</v>
      </c>
      <c r="D33" s="9" t="n">
        <v>0</v>
      </c>
      <c r="E33" s="9" t="n">
        <v>8</v>
      </c>
      <c r="F33" s="9">
        <f>IFERROR(MIN(C33,D33)*E33/C33,0)</f>
        <v/>
      </c>
      <c r="G33" s="9" t="n"/>
    </row>
    <row r="34" ht="14.15" customHeight="1">
      <c r="A34" s="18" t="n">
        <v>19</v>
      </c>
      <c r="B34" s="8" t="inlineStr">
        <is>
          <t>Single Needle Machine (Domestic)</t>
        </is>
      </c>
      <c r="C34" s="9" t="n">
        <v>10</v>
      </c>
      <c r="D34" s="9" t="n">
        <v>0</v>
      </c>
      <c r="E34" s="9" t="n">
        <v>10</v>
      </c>
      <c r="F34" s="9">
        <f>IFERROR(MIN(C34,D34)*E34/C34,0)</f>
        <v/>
      </c>
      <c r="G34" s="9" t="n"/>
    </row>
    <row r="35" ht="14.15" customHeight="1">
      <c r="A35" s="18" t="n">
        <v>20</v>
      </c>
      <c r="B35" s="8" t="inlineStr">
        <is>
          <t>Single Needle Machine (Industrial)</t>
        </is>
      </c>
      <c r="C35" s="9" t="n">
        <v>10</v>
      </c>
      <c r="D35" s="9" t="n">
        <v>0</v>
      </c>
      <c r="E35" s="9" t="n">
        <v>10</v>
      </c>
      <c r="F35" s="9">
        <f>IFERROR(MIN(C35,D35)*E35/C35,0)</f>
        <v/>
      </c>
      <c r="G35" s="9" t="n"/>
    </row>
    <row r="36" ht="14.15" customHeight="1">
      <c r="A36" s="18" t="n">
        <v>21</v>
      </c>
      <c r="B36" s="8" t="inlineStr">
        <is>
          <t>Overlock Machines</t>
        </is>
      </c>
      <c r="C36" s="9" t="n">
        <v>3</v>
      </c>
      <c r="D36" s="9" t="n">
        <v>0</v>
      </c>
      <c r="E36" s="9" t="n">
        <v>10</v>
      </c>
      <c r="F36" s="9">
        <f>IFERROR(MIN(C36,D36)*E36/C36,0)</f>
        <v/>
      </c>
      <c r="G36" s="9" t="n"/>
    </row>
    <row r="37" ht="14.15" customHeight="1">
      <c r="A37" s="18" t="n">
        <v>22</v>
      </c>
      <c r="B37" s="8" t="inlineStr">
        <is>
          <t>Industrial Iron with Table</t>
        </is>
      </c>
      <c r="C37" s="9" t="n">
        <v>2</v>
      </c>
      <c r="D37" s="9" t="n">
        <v>0</v>
      </c>
      <c r="E37" s="9" t="n">
        <v>8</v>
      </c>
      <c r="F37" s="9">
        <f>IFERROR(MIN(C37,D37)*E37/C37,0)</f>
        <v/>
      </c>
      <c r="G37" s="9" t="n"/>
    </row>
    <row r="38">
      <c r="A38" s="19" t="inlineStr">
        <is>
          <t>Sum</t>
        </is>
      </c>
      <c r="B38" s="11" t="n"/>
      <c r="C38" s="11" t="n"/>
      <c r="D38" s="12" t="n"/>
      <c r="E38" s="19">
        <f>SUM(E16:E37)</f>
        <v/>
      </c>
      <c r="F38" s="19">
        <f>SUM(F16:F37)</f>
        <v/>
      </c>
      <c r="G38" s="13" t="n"/>
    </row>
    <row r="39">
      <c r="A39" s="19" t="inlineStr">
        <is>
          <t>Score out of 100</t>
        </is>
      </c>
      <c r="B39" s="11" t="n"/>
      <c r="C39" s="11" t="n"/>
      <c r="D39" s="11" t="n"/>
      <c r="E39" s="12" t="n"/>
      <c r="F39" s="19">
        <f>F38/E38*100</f>
        <v/>
      </c>
      <c r="G39" s="13" t="n"/>
    </row>
    <row r="40" ht="9.75" customHeight="1"/>
    <row r="41">
      <c r="A41" s="19" t="inlineStr">
        <is>
          <t xml:space="preserve">Total achieved points out of 30  </t>
        </is>
      </c>
      <c r="B41" s="11" t="n"/>
      <c r="C41" s="11" t="n"/>
      <c r="D41" s="11" t="n"/>
      <c r="E41" s="12" t="n"/>
      <c r="F41" s="19">
        <f>F39*30/100</f>
        <v/>
      </c>
      <c r="G41" s="19" t="inlineStr">
        <is>
          <t>Points</t>
        </is>
      </c>
    </row>
  </sheetData>
  <mergeCells count="8">
    <mergeCell ref="A13:G13"/>
    <mergeCell ref="A39:E39"/>
    <mergeCell ref="C7:G7"/>
    <mergeCell ref="A1:G1"/>
    <mergeCell ref="A40:G40"/>
    <mergeCell ref="A38:D38"/>
    <mergeCell ref="A41:E41"/>
    <mergeCell ref="C8:G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Plumbing and Pipe Fitting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Plumbing and Pipe Fitting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Plumbing and Pipe Fitting,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Computer/Laptops with internet facility</t>
        </is>
      </c>
      <c r="C16" s="9" t="n">
        <v>1</v>
      </c>
      <c r="D16" s="9" t="n">
        <v>0</v>
      </c>
      <c r="E16" s="9" t="n">
        <v>5</v>
      </c>
      <c r="F16" s="9">
        <f>IFERROR(MIN(C16,D16)*E16/C16,0)</f>
        <v/>
      </c>
      <c r="G16" s="9" t="n"/>
    </row>
    <row r="17" ht="14.15" customHeight="1">
      <c r="A17" s="18" t="n">
        <v>2</v>
      </c>
      <c r="B17" s="8" t="inlineStr">
        <is>
          <t>Multimedia projector &amp; screen</t>
        </is>
      </c>
      <c r="C17" s="9" t="n">
        <v>1</v>
      </c>
      <c r="D17" s="9" t="n">
        <v>0</v>
      </c>
      <c r="E17" s="9" t="n">
        <v>5</v>
      </c>
      <c r="F17" s="9">
        <f>IFERROR(MIN(C17,D17)*E17/C17,0)</f>
        <v/>
      </c>
      <c r="G17" s="9" t="n"/>
    </row>
    <row r="18" ht="14.15" customHeight="1">
      <c r="A18" s="18" t="n">
        <v>3</v>
      </c>
      <c r="B18" s="8" t="inlineStr">
        <is>
          <t>Plumbing workstation/ booth with fitting fixture installation facility</t>
        </is>
      </c>
      <c r="C18" s="9" t="n">
        <v>5</v>
      </c>
      <c r="D18" s="9" t="n">
        <v>0</v>
      </c>
      <c r="E18" s="9" t="n">
        <v>9</v>
      </c>
      <c r="F18" s="9">
        <f>IFERROR(MIN(C18,D18)*E18/C18,0)</f>
        <v/>
      </c>
      <c r="G18" s="9" t="n"/>
    </row>
    <row r="19" ht="14.15" customHeight="1">
      <c r="A19" s="18" t="n">
        <v>4</v>
      </c>
      <c r="B19" s="8" t="inlineStr">
        <is>
          <t>Kitchen Sink</t>
        </is>
      </c>
      <c r="C19" s="9" t="n">
        <v>2</v>
      </c>
      <c r="D19" s="9" t="n">
        <v>0</v>
      </c>
      <c r="E19" s="9" t="n">
        <v>6</v>
      </c>
      <c r="F19" s="9">
        <f>IFERROR(MIN(C19,D19)*E19/C19,0)</f>
        <v/>
      </c>
      <c r="G19" s="9" t="n"/>
    </row>
    <row r="20" ht="14.15" customHeight="1">
      <c r="A20" s="18" t="n">
        <v>5</v>
      </c>
      <c r="B20" s="8" t="inlineStr">
        <is>
          <t>Water Basin</t>
        </is>
      </c>
      <c r="C20" s="9" t="n">
        <v>5</v>
      </c>
      <c r="D20" s="9" t="n">
        <v>0</v>
      </c>
      <c r="E20" s="9" t="n">
        <v>6</v>
      </c>
      <c r="F20" s="9">
        <f>IFERROR(MIN(C20,D20)*E20/C20,0)</f>
        <v/>
      </c>
      <c r="G20" s="9" t="n"/>
    </row>
    <row r="21" ht="14.15" customHeight="1">
      <c r="A21" s="18" t="n">
        <v>6</v>
      </c>
      <c r="B21" s="8" t="inlineStr">
        <is>
          <t>Western commode</t>
        </is>
      </c>
      <c r="C21" s="9" t="n">
        <v>5</v>
      </c>
      <c r="D21" s="9" t="n">
        <v>0</v>
      </c>
      <c r="E21" s="9" t="n">
        <v>7</v>
      </c>
      <c r="F21" s="9">
        <f>IFERROR(MIN(C21,D21)*E21/C21,0)</f>
        <v/>
      </c>
      <c r="G21" s="9" t="n"/>
    </row>
    <row r="22" ht="14.15" customHeight="1">
      <c r="A22" s="18" t="n">
        <v>7</v>
      </c>
      <c r="B22" s="8" t="inlineStr">
        <is>
          <t>Asian commode</t>
        </is>
      </c>
      <c r="C22" s="9" t="n">
        <v>5</v>
      </c>
      <c r="D22" s="9" t="n">
        <v>0</v>
      </c>
      <c r="E22" s="9" t="n">
        <v>7</v>
      </c>
      <c r="F22" s="9">
        <f>IFERROR(MIN(C22,D22)*E22/C22,0)</f>
        <v/>
      </c>
      <c r="G22" s="9" t="n"/>
    </row>
    <row r="23" ht="14.15" customHeight="1">
      <c r="A23" s="18" t="n">
        <v>8</v>
      </c>
      <c r="B23" s="8" t="inlineStr">
        <is>
          <t>Urinal</t>
        </is>
      </c>
      <c r="C23" s="9" t="n">
        <v>2</v>
      </c>
      <c r="D23" s="9" t="n">
        <v>0</v>
      </c>
      <c r="E23" s="9" t="n">
        <v>5</v>
      </c>
      <c r="F23" s="9">
        <f>IFERROR(MIN(C23,D23)*E23/C23,0)</f>
        <v/>
      </c>
      <c r="G23" s="9" t="n"/>
    </row>
    <row r="24" ht="14.15" customHeight="1">
      <c r="A24" s="18" t="n">
        <v>9</v>
      </c>
      <c r="B24" s="8" t="inlineStr">
        <is>
          <t>Shower unit</t>
        </is>
      </c>
      <c r="C24" s="9" t="n">
        <v>5</v>
      </c>
      <c r="D24" s="9" t="n">
        <v>0</v>
      </c>
      <c r="E24" s="9" t="n">
        <v>6</v>
      </c>
      <c r="F24" s="9">
        <f>IFERROR(MIN(C24,D24)*E24/C24,0)</f>
        <v/>
      </c>
      <c r="G24" s="9" t="n"/>
    </row>
    <row r="25" ht="14.15" customHeight="1">
      <c r="A25" s="18" t="n">
        <v>10</v>
      </c>
      <c r="B25" s="8" t="inlineStr">
        <is>
          <t>Bath tub</t>
        </is>
      </c>
      <c r="C25" s="9" t="n">
        <v>1</v>
      </c>
      <c r="D25" s="9" t="n">
        <v>0</v>
      </c>
      <c r="E25" s="9" t="n">
        <v>5</v>
      </c>
      <c r="F25" s="9">
        <f>IFERROR(MIN(C25,D25)*E25/C25,0)</f>
        <v/>
      </c>
      <c r="G25" s="9" t="n"/>
    </row>
    <row r="26" ht="14.15" customHeight="1">
      <c r="A26" s="18" t="n">
        <v>11</v>
      </c>
      <c r="B26" s="8" t="inlineStr">
        <is>
          <t>Geyser</t>
        </is>
      </c>
      <c r="C26" s="9" t="n">
        <v>2</v>
      </c>
      <c r="D26" s="9" t="n">
        <v>0</v>
      </c>
      <c r="E26" s="9" t="n">
        <v>5</v>
      </c>
      <c r="F26" s="9">
        <f>IFERROR(MIN(C26,D26)*E26/C26,0)</f>
        <v/>
      </c>
      <c r="G26" s="9" t="n"/>
    </row>
    <row r="27" ht="14.15" customHeight="1">
      <c r="A27" s="18" t="n">
        <v>12</v>
      </c>
      <c r="B27" s="8" t="inlineStr">
        <is>
          <t>Hot and cold-water mixer tap</t>
        </is>
      </c>
      <c r="C27" s="9" t="n">
        <v>5</v>
      </c>
      <c r="D27" s="9" t="n">
        <v>0</v>
      </c>
      <c r="E27" s="9" t="n">
        <v>4</v>
      </c>
      <c r="F27" s="9">
        <f>IFERROR(MIN(C27,D27)*E27/C27,0)</f>
        <v/>
      </c>
      <c r="G27" s="9" t="n"/>
    </row>
    <row r="28" ht="14.15" customHeight="1">
      <c r="A28" s="18" t="n">
        <v>13</v>
      </c>
      <c r="B28" s="8" t="inlineStr">
        <is>
          <t>Pipe vice (with stand/ work table)</t>
        </is>
      </c>
      <c r="C28" s="9" t="n">
        <v>16</v>
      </c>
      <c r="D28" s="9" t="n">
        <v>0</v>
      </c>
      <c r="E28" s="9" t="n">
        <v>8</v>
      </c>
      <c r="F28" s="9">
        <f>IFERROR(MIN(C28,D28)*E28/C28,0)</f>
        <v/>
      </c>
      <c r="G28" s="9" t="n"/>
    </row>
    <row r="29" ht="14.15" customHeight="1">
      <c r="A29" s="18" t="n">
        <v>14</v>
      </c>
      <c r="B29" s="8" t="inlineStr">
        <is>
          <t>Pipe threading machine</t>
        </is>
      </c>
      <c r="C29" s="9" t="n">
        <v>1</v>
      </c>
      <c r="D29" s="9" t="n">
        <v>0</v>
      </c>
      <c r="E29" s="9" t="n">
        <v>8</v>
      </c>
      <c r="F29" s="9">
        <f>IFERROR(MIN(C29,D29)*E29/C29,0)</f>
        <v/>
      </c>
      <c r="G29" s="9" t="n"/>
    </row>
    <row r="30" ht="14.15" customHeight="1">
      <c r="A30" s="18" t="n">
        <v>15</v>
      </c>
      <c r="B30" s="8" t="inlineStr">
        <is>
          <t>Thread cutter</t>
        </is>
      </c>
      <c r="C30" s="9" t="n">
        <v>16</v>
      </c>
      <c r="D30" s="9" t="n">
        <v>0</v>
      </c>
      <c r="E30" s="9" t="n">
        <v>6</v>
      </c>
      <c r="F30" s="9">
        <f>IFERROR(MIN(C30,D30)*E30/C30,0)</f>
        <v/>
      </c>
      <c r="G30" s="9" t="n"/>
    </row>
    <row r="31" ht="14.15" customHeight="1">
      <c r="A31" s="18" t="n">
        <v>16</v>
      </c>
      <c r="B31" s="8" t="inlineStr">
        <is>
          <t>Angle grinder</t>
        </is>
      </c>
      <c r="C31" s="9" t="n">
        <v>10</v>
      </c>
      <c r="D31" s="9" t="n">
        <v>0</v>
      </c>
      <c r="E31" s="9" t="n">
        <v>6</v>
      </c>
      <c r="F31" s="9">
        <f>IFERROR(MIN(C31,D31)*E31/C31,0)</f>
        <v/>
      </c>
      <c r="G31" s="9" t="n"/>
    </row>
    <row r="32" ht="14.15" customHeight="1">
      <c r="A32" s="18" t="n">
        <v>17</v>
      </c>
      <c r="B32" s="8" t="inlineStr">
        <is>
          <t>Pedestal grinder</t>
        </is>
      </c>
      <c r="C32" s="9" t="n">
        <v>2</v>
      </c>
      <c r="D32" s="9" t="n">
        <v>0</v>
      </c>
      <c r="E32" s="9" t="n">
        <v>5</v>
      </c>
      <c r="F32" s="9">
        <f>IFERROR(MIN(C32,D32)*E32/C32,0)</f>
        <v/>
      </c>
      <c r="G32" s="9" t="n"/>
    </row>
    <row r="33" ht="14.15" customHeight="1">
      <c r="A33" s="18" t="n">
        <v>18</v>
      </c>
      <c r="B33" s="8" t="inlineStr">
        <is>
          <t>Hammer drill machine</t>
        </is>
      </c>
      <c r="C33" s="9" t="n">
        <v>5</v>
      </c>
      <c r="D33" s="9" t="n">
        <v>0</v>
      </c>
      <c r="E33" s="9" t="n">
        <v>6</v>
      </c>
      <c r="F33" s="9">
        <f>IFERROR(MIN(C33,D33)*E33/C33,0)</f>
        <v/>
      </c>
      <c r="G33" s="9" t="n"/>
    </row>
    <row r="34" ht="14.15" customHeight="1">
      <c r="A34" s="18" t="n">
        <v>19</v>
      </c>
      <c r="B34" s="8" t="inlineStr">
        <is>
          <t>PPR welding machine</t>
        </is>
      </c>
      <c r="C34" s="9" t="n">
        <v>5</v>
      </c>
      <c r="D34" s="9" t="n">
        <v>0</v>
      </c>
      <c r="E34" s="9" t="n">
        <v>8</v>
      </c>
      <c r="F34" s="9">
        <f>IFERROR(MIN(C34,D34)*E34/C34,0)</f>
        <v/>
      </c>
      <c r="G34" s="9" t="n"/>
    </row>
    <row r="35" ht="14.15" customHeight="1">
      <c r="A35" s="18" t="n">
        <v>20</v>
      </c>
      <c r="B35" s="8" t="inlineStr">
        <is>
          <t>Core cutting machine</t>
        </is>
      </c>
      <c r="C35" s="9" t="n">
        <v>1</v>
      </c>
      <c r="D35" s="9" t="n">
        <v>0</v>
      </c>
      <c r="E35" s="9" t="n">
        <v>6</v>
      </c>
      <c r="F35" s="9">
        <f>IFERROR(MIN(C35,D35)*E35/C35,0)</f>
        <v/>
      </c>
      <c r="G35" s="9" t="n"/>
    </row>
    <row r="36" ht="14.15" customHeight="1">
      <c r="A36" s="18" t="n">
        <v>21</v>
      </c>
      <c r="B36" s="8" t="inlineStr">
        <is>
          <t>Plastic septic tank</t>
        </is>
      </c>
      <c r="C36" s="9" t="n">
        <v>1</v>
      </c>
      <c r="D36" s="9" t="n">
        <v>0</v>
      </c>
      <c r="E36" s="9" t="n">
        <v>5</v>
      </c>
      <c r="F36" s="9">
        <f>IFERROR(MIN(C36,D36)*E36/C36,0)</f>
        <v/>
      </c>
      <c r="G36" s="9" t="n"/>
    </row>
    <row r="37" ht="14.15" customHeight="1">
      <c r="A37" s="18" t="n">
        <v>22</v>
      </c>
      <c r="B37" s="8" t="inlineStr">
        <is>
          <t>Water pump</t>
        </is>
      </c>
      <c r="C37" s="9" t="n">
        <v>5</v>
      </c>
      <c r="D37" s="9" t="n">
        <v>0</v>
      </c>
      <c r="E37" s="9" t="n">
        <v>7</v>
      </c>
      <c r="F37" s="9">
        <f>IFERROR(MIN(C37,D37)*E37/C37,0)</f>
        <v/>
      </c>
      <c r="G37" s="9" t="n"/>
    </row>
    <row r="38" ht="14.15" customHeight="1">
      <c r="A38" s="18" t="n">
        <v>23</v>
      </c>
      <c r="B38" s="8" t="inlineStr">
        <is>
          <t>Overhead water Tank</t>
        </is>
      </c>
      <c r="C38" s="9" t="n">
        <v>1</v>
      </c>
      <c r="D38" s="9" t="n">
        <v>0</v>
      </c>
      <c r="E38" s="9" t="n">
        <v>5</v>
      </c>
      <c r="F38" s="9">
        <f>IFERROR(MIN(C38,D38)*E38/C38,0)</f>
        <v/>
      </c>
      <c r="G38" s="9" t="n"/>
    </row>
    <row r="39">
      <c r="A39" s="19" t="inlineStr">
        <is>
          <t>Sum</t>
        </is>
      </c>
      <c r="B39" s="11" t="n"/>
      <c r="C39" s="11" t="n"/>
      <c r="D39" s="12" t="n"/>
      <c r="E39" s="19">
        <f>SUM(E16:E38)</f>
        <v/>
      </c>
      <c r="F39" s="19">
        <f>SUM(F16:F38)</f>
        <v/>
      </c>
      <c r="G39" s="13" t="n"/>
    </row>
    <row r="40">
      <c r="A40" s="19" t="inlineStr">
        <is>
          <t>Score out of 100</t>
        </is>
      </c>
      <c r="B40" s="11" t="n"/>
      <c r="C40" s="11" t="n"/>
      <c r="D40" s="11" t="n"/>
      <c r="E40" s="12" t="n"/>
      <c r="F40" s="19">
        <f>F39/E39*100</f>
        <v/>
      </c>
      <c r="G40" s="13" t="n"/>
    </row>
    <row r="41" ht="9.75" customHeight="1"/>
    <row r="42">
      <c r="A42" s="19" t="inlineStr">
        <is>
          <t xml:space="preserve">Total achieved points out of 30  </t>
        </is>
      </c>
      <c r="B42" s="11" t="n"/>
      <c r="C42" s="11" t="n"/>
      <c r="D42" s="11" t="n"/>
      <c r="E42" s="12" t="n"/>
      <c r="F42" s="19">
        <f>F40*30/100</f>
        <v/>
      </c>
      <c r="G42" s="19"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Refrigeration and Air Conditioning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Refrigeration and Air Conditioning</t>
        </is>
      </c>
      <c r="C8" s="4" t="inlineStr">
        <is>
          <t xml:space="preserve">Classroom		: 350 sft 
Workshop/Lab	: 800-1000 sft </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Refrigeration and Air Conditioning,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Split Type AC (1 Inverter type and 4 non-inverter type)</t>
        </is>
      </c>
      <c r="C16" s="9" t="n">
        <v>5</v>
      </c>
      <c r="D16" s="9" t="n">
        <v>0</v>
      </c>
      <c r="E16" s="9" t="n">
        <v>9</v>
      </c>
      <c r="F16" s="9">
        <f>IFERROR(MIN(C16,D16)*E16/C16,0)</f>
        <v/>
      </c>
      <c r="G16" s="9" t="n"/>
    </row>
    <row r="17" ht="14.15" customHeight="1">
      <c r="A17" s="18" t="n">
        <v>2</v>
      </c>
      <c r="B17" s="8" t="inlineStr">
        <is>
          <t>Window Type AC</t>
        </is>
      </c>
      <c r="C17" s="9" t="n">
        <v>2</v>
      </c>
      <c r="D17" s="9" t="n">
        <v>0</v>
      </c>
      <c r="E17" s="9" t="n">
        <v>7</v>
      </c>
      <c r="F17" s="9">
        <f>IFERROR(MIN(C17,D17)*E17/C17,0)</f>
        <v/>
      </c>
      <c r="G17" s="9" t="n"/>
    </row>
    <row r="18" ht="14.15" customHeight="1">
      <c r="A18" s="18" t="n">
        <v>3</v>
      </c>
      <c r="B18" s="8" t="inlineStr">
        <is>
          <t>Cassette Type AC</t>
        </is>
      </c>
      <c r="C18" s="9" t="n">
        <v>1</v>
      </c>
      <c r="D18" s="9" t="n">
        <v>0</v>
      </c>
      <c r="E18" s="9" t="n">
        <v>7</v>
      </c>
      <c r="F18" s="9">
        <f>IFERROR(MIN(C18,D18)*E18/C18,0)</f>
        <v/>
      </c>
      <c r="G18" s="9" t="n"/>
    </row>
    <row r="19" ht="14.15" customHeight="1">
      <c r="A19" s="18" t="n">
        <v>4</v>
      </c>
      <c r="B19" s="8" t="inlineStr">
        <is>
          <t>Vacuum Pumps</t>
        </is>
      </c>
      <c r="C19" s="9" t="n">
        <v>5</v>
      </c>
      <c r="D19" s="9" t="n">
        <v>0</v>
      </c>
      <c r="E19" s="9" t="n">
        <v>8</v>
      </c>
      <c r="F19" s="9">
        <f>IFERROR(MIN(C19,D19)*E19/C19,0)</f>
        <v/>
      </c>
      <c r="G19" s="9" t="n"/>
    </row>
    <row r="20" ht="14.15" customHeight="1">
      <c r="A20" s="18" t="n">
        <v>5</v>
      </c>
      <c r="B20" s="8" t="inlineStr">
        <is>
          <t>Swaging Tools set</t>
        </is>
      </c>
      <c r="C20" s="9" t="n">
        <v>5</v>
      </c>
      <c r="D20" s="9" t="n">
        <v>0</v>
      </c>
      <c r="E20" s="9" t="n">
        <v>6</v>
      </c>
      <c r="F20" s="9">
        <f>IFERROR(MIN(C20,D20)*E20/C20,0)</f>
        <v/>
      </c>
      <c r="G20" s="9" t="n"/>
    </row>
    <row r="21" ht="14.15" customHeight="1">
      <c r="A21" s="18" t="n">
        <v>6</v>
      </c>
      <c r="B21" s="8" t="inlineStr">
        <is>
          <t>Refrigeration Model</t>
        </is>
      </c>
      <c r="C21" s="9" t="n">
        <v>2</v>
      </c>
      <c r="D21" s="9" t="n">
        <v>0</v>
      </c>
      <c r="E21" s="9" t="n">
        <v>6</v>
      </c>
      <c r="F21" s="9">
        <f>IFERROR(MIN(C21,D21)*E21/C21,0)</f>
        <v/>
      </c>
      <c r="G21" s="9" t="n"/>
    </row>
    <row r="22" ht="14.15" customHeight="1">
      <c r="A22" s="18" t="n">
        <v>7</v>
      </c>
      <c r="B22" s="8" t="inlineStr">
        <is>
          <t>Flaring Tools set</t>
        </is>
      </c>
      <c r="C22" s="9" t="n">
        <v>5</v>
      </c>
      <c r="D22" s="9" t="n">
        <v>0</v>
      </c>
      <c r="E22" s="9" t="n">
        <v>6</v>
      </c>
      <c r="F22" s="9">
        <f>IFERROR(MIN(C22,D22)*E22/C22,0)</f>
        <v/>
      </c>
      <c r="G22" s="9" t="n"/>
    </row>
    <row r="23" ht="14.15" customHeight="1">
      <c r="A23" s="18" t="n">
        <v>8</v>
      </c>
      <c r="B23" s="8" t="inlineStr">
        <is>
          <t>Gas welding Set and its accessories (Cylinder with O2 and acetylene gas)</t>
        </is>
      </c>
      <c r="C23" s="9" t="n">
        <v>1</v>
      </c>
      <c r="D23" s="9" t="n">
        <v>0</v>
      </c>
      <c r="E23" s="9" t="n">
        <v>7</v>
      </c>
      <c r="F23" s="9">
        <f>IFERROR(MIN(C23,D23)*E23/C23,0)</f>
        <v/>
      </c>
      <c r="G23" s="9" t="n"/>
    </row>
    <row r="24" ht="14.15" customHeight="1">
      <c r="A24" s="18" t="n">
        <v>9</v>
      </c>
      <c r="B24" s="8" t="inlineStr">
        <is>
          <t>Working Table</t>
        </is>
      </c>
      <c r="C24" s="9" t="n">
        <v>5</v>
      </c>
      <c r="D24" s="9" t="n">
        <v>0</v>
      </c>
      <c r="E24" s="9" t="n">
        <v>4</v>
      </c>
      <c r="F24" s="9">
        <f>IFERROR(MIN(C24,D24)*E24/C24,0)</f>
        <v/>
      </c>
      <c r="G24" s="9" t="n"/>
    </row>
    <row r="25" ht="14.15" customHeight="1">
      <c r="A25" s="18" t="n">
        <v>10</v>
      </c>
      <c r="B25" s="8" t="inlineStr">
        <is>
          <t>Leak detectors</t>
        </is>
      </c>
      <c r="C25" s="9" t="n">
        <v>2</v>
      </c>
      <c r="D25" s="9" t="n">
        <v>0</v>
      </c>
      <c r="E25" s="9" t="n">
        <v>7</v>
      </c>
      <c r="F25" s="9">
        <f>IFERROR(MIN(C25,D25)*E25/C25,0)</f>
        <v/>
      </c>
      <c r="G25" s="9" t="n"/>
    </row>
    <row r="26" ht="14.15" customHeight="1">
      <c r="A26" s="18" t="n">
        <v>11</v>
      </c>
      <c r="B26" s="8" t="inlineStr">
        <is>
          <t>Freeze (Frost)</t>
        </is>
      </c>
      <c r="C26" s="9" t="n">
        <v>5</v>
      </c>
      <c r="D26" s="9" t="n">
        <v>0</v>
      </c>
      <c r="E26" s="9" t="n">
        <v>6</v>
      </c>
      <c r="F26" s="9">
        <f>IFERROR(MIN(C26,D26)*E26/C26,0)</f>
        <v/>
      </c>
      <c r="G26" s="9" t="n"/>
    </row>
    <row r="27" ht="14.15" customHeight="1">
      <c r="A27" s="18" t="n">
        <v>12</v>
      </c>
      <c r="B27" s="8" t="inlineStr">
        <is>
          <t>Freeze (Non-Frost)</t>
        </is>
      </c>
      <c r="C27" s="9" t="n">
        <v>2</v>
      </c>
      <c r="D27" s="9" t="n">
        <v>0</v>
      </c>
      <c r="E27" s="9" t="n">
        <v>6</v>
      </c>
      <c r="F27" s="9">
        <f>IFERROR(MIN(C27,D27)*E27/C27,0)</f>
        <v/>
      </c>
      <c r="G27" s="9" t="n"/>
    </row>
    <row r="28" ht="14.15" customHeight="1">
      <c r="A28" s="18" t="n">
        <v>13</v>
      </c>
      <c r="B28" s="8" t="inlineStr">
        <is>
          <t>Hand Grinder</t>
        </is>
      </c>
      <c r="C28" s="9" t="n">
        <v>2</v>
      </c>
      <c r="D28" s="9" t="n">
        <v>0</v>
      </c>
      <c r="E28" s="9" t="n">
        <v>4</v>
      </c>
      <c r="F28" s="9">
        <f>IFERROR(MIN(C28,D28)*E28/C28,0)</f>
        <v/>
      </c>
      <c r="G28" s="9" t="n"/>
    </row>
    <row r="29" ht="14.15" customHeight="1">
      <c r="A29" s="18" t="n">
        <v>14</v>
      </c>
      <c r="B29" s="8" t="inlineStr">
        <is>
          <t>Cylinder with Nitrogen gas</t>
        </is>
      </c>
      <c r="C29" s="9" t="n">
        <v>2</v>
      </c>
      <c r="D29" s="9" t="n">
        <v>0</v>
      </c>
      <c r="E29" s="9" t="n">
        <v>5</v>
      </c>
      <c r="F29" s="9">
        <f>IFERROR(MIN(C29,D29)*E29/C29,0)</f>
        <v/>
      </c>
      <c r="G29" s="9" t="n"/>
    </row>
    <row r="30" ht="14.15" customHeight="1">
      <c r="A30" s="18" t="n">
        <v>15</v>
      </c>
      <c r="B30" s="8" t="inlineStr">
        <is>
          <t>Electric Hand Drill Machine</t>
        </is>
      </c>
      <c r="C30" s="9" t="n">
        <v>2</v>
      </c>
      <c r="D30" s="9" t="n">
        <v>0</v>
      </c>
      <c r="E30" s="9" t="n">
        <v>4</v>
      </c>
      <c r="F30" s="9">
        <f>IFERROR(MIN(C30,D30)*E30/C30,0)</f>
        <v/>
      </c>
      <c r="G30" s="9" t="n"/>
    </row>
    <row r="31" ht="14.15" customHeight="1">
      <c r="A31" s="18" t="n">
        <v>16</v>
      </c>
      <c r="B31" s="8" t="inlineStr">
        <is>
          <t>Hammer Drill Machine</t>
        </is>
      </c>
      <c r="C31" s="9" t="n">
        <v>2</v>
      </c>
      <c r="D31" s="9" t="n">
        <v>0</v>
      </c>
      <c r="E31" s="9" t="n">
        <v>4</v>
      </c>
      <c r="F31" s="9">
        <f>IFERROR(MIN(C31,D31)*E31/C31,0)</f>
        <v/>
      </c>
      <c r="G31" s="9" t="n"/>
    </row>
    <row r="32" ht="14.15" customHeight="1">
      <c r="A32" s="18" t="n">
        <v>17</v>
      </c>
      <c r="B32" s="8" t="inlineStr">
        <is>
          <t>Refrigerant Recovery Machine</t>
        </is>
      </c>
      <c r="C32" s="9" t="n">
        <v>2</v>
      </c>
      <c r="D32" s="9" t="n">
        <v>0</v>
      </c>
      <c r="E32" s="9" t="n">
        <v>8</v>
      </c>
      <c r="F32" s="9">
        <f>IFERROR(MIN(C32,D32)*E32/C32,0)</f>
        <v/>
      </c>
      <c r="G32" s="9" t="n"/>
    </row>
    <row r="33" ht="14.15" customHeight="1">
      <c r="A33" s="18" t="n">
        <v>18</v>
      </c>
      <c r="B33" s="8" t="inlineStr">
        <is>
          <t>Refrigerant Recovery Cylinder</t>
        </is>
      </c>
      <c r="C33" s="9" t="n">
        <v>2</v>
      </c>
      <c r="D33" s="9" t="n">
        <v>0</v>
      </c>
      <c r="E33" s="9" t="n">
        <v>5</v>
      </c>
      <c r="F33" s="9">
        <f>IFERROR(MIN(C33,D33)*E33/C33,0)</f>
        <v/>
      </c>
      <c r="G33" s="9" t="n"/>
    </row>
    <row r="34">
      <c r="A34" s="19" t="inlineStr">
        <is>
          <t>Sum</t>
        </is>
      </c>
      <c r="B34" s="11" t="n"/>
      <c r="C34" s="11" t="n"/>
      <c r="D34" s="12" t="n"/>
      <c r="E34" s="19">
        <f>SUM(E16:E33)</f>
        <v/>
      </c>
      <c r="F34" s="19">
        <f>SUM(F16:F33)</f>
        <v/>
      </c>
      <c r="G34" s="13" t="n"/>
    </row>
    <row r="35">
      <c r="A35" s="19" t="inlineStr">
        <is>
          <t>Score out of 100</t>
        </is>
      </c>
      <c r="B35" s="11" t="n"/>
      <c r="C35" s="11" t="n"/>
      <c r="D35" s="11" t="n"/>
      <c r="E35" s="12" t="n"/>
      <c r="F35" s="19">
        <f>F34/E34*100</f>
        <v/>
      </c>
      <c r="G35" s="13" t="n"/>
    </row>
    <row r="36" ht="9.75" customHeight="1"/>
    <row r="37">
      <c r="A37" s="19" t="inlineStr">
        <is>
          <t xml:space="preserve">Total achieved points out of 30  </t>
        </is>
      </c>
      <c r="B37" s="11" t="n"/>
      <c r="C37" s="11" t="n"/>
      <c r="D37" s="11" t="n"/>
      <c r="E37" s="12" t="n"/>
      <c r="F37" s="19">
        <f>F35*30/100</f>
        <v/>
      </c>
      <c r="G37" s="19"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Graphic Design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Graphic Design</t>
        </is>
      </c>
      <c r="C8" s="4" t="inlineStr">
        <is>
          <t>Classroom – 350 sft (33 sqm)
lab size – 500 sft (47 sqm)
OR
Classroom cum workshop – 500 sft (47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Graphic Design,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Laptop/ Desktop (Minimum Intel core i5 or Intel core i3 8 gen/above, or AMD Ryzen similar spec; Ram: minimum 8 - 16 GB; Display: FHD monitor; Graphic Card: dedicated GPU 2GB; High Speed Internet (Minimum 10 Mbps); Graphic Design Software 
(Photoshop CC, Illustrator CC, InDesign, After Effects, CorelDraw); 3D Design Software (Blender, Cinema 4D or Autodesk Maya)</t>
        </is>
      </c>
      <c r="C16" s="9" t="n">
        <v>26</v>
      </c>
      <c r="D16" s="9" t="n">
        <v>0</v>
      </c>
      <c r="E16" s="9" t="n">
        <v>10</v>
      </c>
      <c r="F16" s="9">
        <f>IFERROR(MIN(C16,D16)*E16/C16,0)</f>
        <v/>
      </c>
      <c r="G16" s="9" t="n"/>
    </row>
    <row r="17" ht="14.15" customHeight="1">
      <c r="A17" s="18" t="n">
        <v>2</v>
      </c>
      <c r="B17" s="8" t="inlineStr">
        <is>
          <t>Power Backup (at least 01 hour)</t>
        </is>
      </c>
      <c r="C17" s="9" t="n">
        <v>26</v>
      </c>
      <c r="D17" s="9" t="n">
        <v>0</v>
      </c>
      <c r="E17" s="9" t="n">
        <v>6</v>
      </c>
      <c r="F17" s="9">
        <f>IFERROR(MIN(C17,D17)*E17/C17,0)</f>
        <v/>
      </c>
      <c r="G17" s="9" t="n"/>
    </row>
    <row r="18" ht="14.15" customHeight="1">
      <c r="A18" s="18" t="n">
        <v>3</v>
      </c>
      <c r="B18" s="8" t="inlineStr">
        <is>
          <t>Color Printer</t>
        </is>
      </c>
      <c r="C18" s="9" t="n">
        <v>1</v>
      </c>
      <c r="D18" s="9" t="n">
        <v>0</v>
      </c>
      <c r="E18" s="9" t="n">
        <v>6</v>
      </c>
      <c r="F18" s="9">
        <f>IFERROR(MIN(C18,D18)*E18/C18,0)</f>
        <v/>
      </c>
      <c r="G18" s="9" t="n"/>
    </row>
    <row r="19" ht="14.15" customHeight="1">
      <c r="A19" s="18" t="n">
        <v>4</v>
      </c>
      <c r="B19" s="8" t="inlineStr">
        <is>
          <t>Scanner</t>
        </is>
      </c>
      <c r="C19" s="9" t="n">
        <v>1</v>
      </c>
      <c r="D19" s="9" t="n">
        <v>0</v>
      </c>
      <c r="E19" s="9" t="n">
        <v>6</v>
      </c>
      <c r="F19" s="9">
        <f>IFERROR(MIN(C19,D19)*E19/C19,0)</f>
        <v/>
      </c>
      <c r="G19" s="9" t="n"/>
    </row>
    <row r="20" ht="14.15" customHeight="1">
      <c r="A20" s="18" t="n">
        <v>5</v>
      </c>
      <c r="B20" s="8" t="inlineStr">
        <is>
          <t>Projector or Large Display Screen</t>
        </is>
      </c>
      <c r="C20" s="9" t="n">
        <v>1</v>
      </c>
      <c r="D20" s="9" t="n">
        <v>0</v>
      </c>
      <c r="E20" s="9" t="n">
        <v>6</v>
      </c>
      <c r="F20" s="9">
        <f>IFERROR(MIN(C20,D20)*E20/C20,0)</f>
        <v/>
      </c>
      <c r="G20" s="9" t="n"/>
    </row>
    <row r="21" ht="14.15" customHeight="1">
      <c r="A21" s="18" t="n">
        <v>6</v>
      </c>
      <c r="B21" s="8" t="inlineStr">
        <is>
          <t>White board</t>
        </is>
      </c>
      <c r="C21" s="9" t="n">
        <v>1</v>
      </c>
      <c r="D21" s="9" t="n">
        <v>0</v>
      </c>
      <c r="E21" s="9" t="n">
        <v>4</v>
      </c>
      <c r="F21" s="9">
        <f>IFERROR(MIN(C21,D21)*E21/C21,0)</f>
        <v/>
      </c>
      <c r="G21" s="9" t="n"/>
    </row>
    <row r="22" ht="14.15" customHeight="1">
      <c r="A22" s="18" t="n">
        <v>7</v>
      </c>
      <c r="B22" s="8" t="inlineStr">
        <is>
          <t>Sound speaker and microphone</t>
        </is>
      </c>
      <c r="C22" s="9" t="n">
        <v>1</v>
      </c>
      <c r="D22" s="9" t="n">
        <v>0</v>
      </c>
      <c r="E22" s="9" t="n">
        <v>4</v>
      </c>
      <c r="F22" s="9">
        <f>IFERROR(MIN(C22,D22)*E22/C22,0)</f>
        <v/>
      </c>
      <c r="G22" s="9" t="n"/>
    </row>
    <row r="23" ht="14.15" customHeight="1">
      <c r="A23" s="18" t="n">
        <v>8</v>
      </c>
      <c r="B23" s="8" t="inlineStr">
        <is>
          <t>Ergonomic chairs and desks (Plastic chairs/stool not acceptable)</t>
        </is>
      </c>
      <c r="C23" s="9" t="n">
        <v>26</v>
      </c>
      <c r="D23" s="9" t="n">
        <v>0</v>
      </c>
      <c r="E23" s="9" t="n">
        <v>5</v>
      </c>
      <c r="F23" s="9">
        <f>IFERROR(MIN(C23,D23)*E23/C23,0)</f>
        <v/>
      </c>
      <c r="G23" s="9" t="n"/>
    </row>
    <row r="24">
      <c r="A24" s="19" t="inlineStr">
        <is>
          <t>Sum</t>
        </is>
      </c>
      <c r="B24" s="11" t="n"/>
      <c r="C24" s="11" t="n"/>
      <c r="D24" s="12" t="n"/>
      <c r="E24" s="19">
        <f>SUM(E16:E23)</f>
        <v/>
      </c>
      <c r="F24" s="19">
        <f>SUM(F16:F23)</f>
        <v/>
      </c>
      <c r="G24" s="13" t="n"/>
    </row>
    <row r="25">
      <c r="A25" s="19" t="inlineStr">
        <is>
          <t>Score out of 100</t>
        </is>
      </c>
      <c r="B25" s="11" t="n"/>
      <c r="C25" s="11" t="n"/>
      <c r="D25" s="11" t="n"/>
      <c r="E25" s="12" t="n"/>
      <c r="F25" s="19">
        <f>F24/E24*100</f>
        <v/>
      </c>
      <c r="G25" s="13" t="n"/>
    </row>
    <row r="26" ht="9.75" customHeight="1"/>
    <row r="27">
      <c r="A27" s="19" t="inlineStr">
        <is>
          <t xml:space="preserve">Total achieved points out of 30  </t>
        </is>
      </c>
      <c r="B27" s="11" t="n"/>
      <c r="C27" s="11" t="n"/>
      <c r="D27" s="11" t="n"/>
      <c r="E27" s="12" t="n"/>
      <c r="F27" s="19">
        <f>F25*30/100</f>
        <v/>
      </c>
      <c r="G27" s="19" t="inlineStr">
        <is>
          <t>Points</t>
        </is>
      </c>
    </row>
    <row r="28" ht="14.15" customHeight="1">
      <c r="A28" s="5" t="inlineStr">
        <is>
          <t>* For this course, the lab should be air-conditioned. Otherwise, the total points achieved will be halved.</t>
        </is>
      </c>
    </row>
  </sheetData>
  <mergeCells count="9">
    <mergeCell ref="A13:G13"/>
    <mergeCell ref="C7:G7"/>
    <mergeCell ref="A1:G1"/>
    <mergeCell ref="A25:E25"/>
    <mergeCell ref="A26:G26"/>
    <mergeCell ref="A24:D24"/>
    <mergeCell ref="C8:G8"/>
    <mergeCell ref="A27:E27"/>
    <mergeCell ref="A28:G2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IT Freelancing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IT Freelancing</t>
        </is>
      </c>
      <c r="C8" s="4" t="inlineStr">
        <is>
          <t>Classroom – 350 sft (33 sqm)
lab size – 500 sft (47 sqm)
OR
Classroom cum workshop – 500 sft (47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IT Freelancing,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Computer/Laptop</t>
        </is>
      </c>
      <c r="C16" s="9" t="n">
        <v>1</v>
      </c>
      <c r="D16" s="9" t="n">
        <v>0</v>
      </c>
      <c r="E16" s="9" t="n">
        <v>8</v>
      </c>
      <c r="F16" s="9">
        <f>IFERROR(MIN(C16,D16)*E16/C16,0)</f>
        <v/>
      </c>
      <c r="G16" s="9" t="n"/>
    </row>
    <row r="17" ht="14.15" customHeight="1">
      <c r="A17" s="18" t="n">
        <v>2</v>
      </c>
      <c r="B17" s="8" t="inlineStr">
        <is>
          <t>Printer</t>
        </is>
      </c>
      <c r="C17" s="9" t="n">
        <v>1</v>
      </c>
      <c r="D17" s="9" t="n">
        <v>0</v>
      </c>
      <c r="E17" s="9" t="n">
        <v>6</v>
      </c>
      <c r="F17" s="9">
        <f>IFERROR(MIN(C17,D17)*E17/C17,0)</f>
        <v/>
      </c>
      <c r="G17" s="9" t="n"/>
    </row>
    <row r="18" ht="14.15" customHeight="1">
      <c r="A18" s="18" t="n">
        <v>3</v>
      </c>
      <c r="B18" s="8" t="inlineStr">
        <is>
          <t>Scanner</t>
        </is>
      </c>
      <c r="C18" s="9" t="n">
        <v>1</v>
      </c>
      <c r="D18" s="9" t="n">
        <v>0</v>
      </c>
      <c r="E18" s="9" t="n">
        <v>6</v>
      </c>
      <c r="F18" s="9">
        <f>IFERROR(MIN(C18,D18)*E18/C18,0)</f>
        <v/>
      </c>
      <c r="G18" s="9" t="n"/>
    </row>
    <row r="19" ht="14.15" customHeight="1">
      <c r="A19" s="18" t="n">
        <v>4</v>
      </c>
      <c r="B19" s="8" t="inlineStr">
        <is>
          <t>Computers/Laptop: 
(Minimum Intel core i5 or Intel core i3 6 gen/above, or AMD Ryzen similar spec, 8GB RAM (16GB preferred), 500GB SSD storage (1TB preferred), High-resolution monitors (19/20-inch minimum, with color accuracy).</t>
        </is>
      </c>
      <c r="C19" s="9" t="n">
        <v>25</v>
      </c>
      <c r="D19" s="9" t="n">
        <v>0</v>
      </c>
      <c r="E19" s="9" t="n">
        <v>10</v>
      </c>
      <c r="F19" s="9">
        <f>IFERROR(MIN(C19,D19)*E19/C19,0)</f>
        <v/>
      </c>
      <c r="G19" s="9" t="n"/>
    </row>
    <row r="20" ht="14.15" customHeight="1">
      <c r="A20" s="18" t="n">
        <v>5</v>
      </c>
      <c r="B20" s="8" t="inlineStr">
        <is>
          <t>Projector: 
High-resolution projector (HD or 4K) for instructor presentations, large screen for the room to ensure visibility for all trainees.</t>
        </is>
      </c>
      <c r="C20" s="9" t="n">
        <v>1</v>
      </c>
      <c r="D20" s="9" t="n">
        <v>0</v>
      </c>
      <c r="E20" s="9" t="n">
        <v>6</v>
      </c>
      <c r="F20" s="9">
        <f>IFERROR(MIN(C20,D20)*E20/C20,0)</f>
        <v/>
      </c>
      <c r="G20" s="9" t="n"/>
    </row>
    <row r="21" ht="14.15" customHeight="1">
      <c r="A21" s="18" t="n">
        <v>6</v>
      </c>
      <c r="B21" s="8" t="inlineStr">
        <is>
          <t>Tools: 
Office application, photo editing software and video editing software, SEO Tools, Social Media Management, Email Marketing, Content Creation, CRM, Data Entry, Affiliate Marketing, bid for job</t>
        </is>
      </c>
      <c r="C21" s="9" t="n">
        <v>6</v>
      </c>
      <c r="D21" s="9" t="n">
        <v>0</v>
      </c>
      <c r="E21" s="9" t="n">
        <v>8</v>
      </c>
      <c r="F21" s="9">
        <f>IFERROR(MIN(C21,D21)*E21/C21,0)</f>
        <v/>
      </c>
      <c r="G21" s="9" t="n"/>
    </row>
    <row r="22" ht="14.15" customHeight="1">
      <c r="A22" s="18" t="n">
        <v>7</v>
      </c>
      <c r="B22" s="8" t="inlineStr">
        <is>
          <t>Ergonomic chairs and desks</t>
        </is>
      </c>
      <c r="C22" s="9" t="n">
        <v>25</v>
      </c>
      <c r="D22" s="9" t="n">
        <v>0</v>
      </c>
      <c r="E22" s="9" t="n">
        <v>5</v>
      </c>
      <c r="F22" s="9">
        <f>IFERROR(MIN(C22,D22)*E22/C22,0)</f>
        <v/>
      </c>
      <c r="G22" s="9" t="n"/>
    </row>
    <row r="23" ht="14.15" customHeight="1">
      <c r="A23" s="18" t="n">
        <v>8</v>
      </c>
      <c r="B23" s="8" t="inlineStr">
        <is>
          <t>Internet connectivity (Minimum 10 Mbps) with power back-up (at least 01 hour)</t>
        </is>
      </c>
      <c r="C23" s="9" t="n">
        <v>1</v>
      </c>
      <c r="D23" s="9" t="n">
        <v>0</v>
      </c>
      <c r="E23" s="9" t="n">
        <v>8</v>
      </c>
      <c r="F23" s="9">
        <f>IFERROR(MIN(C23,D23)*E23/C23,0)</f>
        <v/>
      </c>
      <c r="G23" s="9" t="n"/>
    </row>
    <row r="24">
      <c r="A24" s="19" t="inlineStr">
        <is>
          <t>Sum</t>
        </is>
      </c>
      <c r="B24" s="11" t="n"/>
      <c r="C24" s="11" t="n"/>
      <c r="D24" s="12" t="n"/>
      <c r="E24" s="19">
        <f>SUM(E16:E23)</f>
        <v/>
      </c>
      <c r="F24" s="19">
        <f>SUM(F16:F23)</f>
        <v/>
      </c>
      <c r="G24" s="13" t="n"/>
    </row>
    <row r="25">
      <c r="A25" s="19" t="inlineStr">
        <is>
          <t>Score out of 100</t>
        </is>
      </c>
      <c r="B25" s="11" t="n"/>
      <c r="C25" s="11" t="n"/>
      <c r="D25" s="11" t="n"/>
      <c r="E25" s="12" t="n"/>
      <c r="F25" s="19">
        <f>F24/E24*100</f>
        <v/>
      </c>
      <c r="G25" s="13" t="n"/>
    </row>
    <row r="26" ht="9.75" customHeight="1"/>
    <row r="27">
      <c r="A27" s="19" t="inlineStr">
        <is>
          <t xml:space="preserve">Total achieved points out of 30  </t>
        </is>
      </c>
      <c r="B27" s="11" t="n"/>
      <c r="C27" s="11" t="n"/>
      <c r="D27" s="11" t="n"/>
      <c r="E27" s="12" t="n"/>
      <c r="F27" s="19">
        <f>F25*30/100</f>
        <v/>
      </c>
      <c r="G27" s="19" t="inlineStr">
        <is>
          <t>Points</t>
        </is>
      </c>
    </row>
    <row r="28" ht="14.15" customHeight="1">
      <c r="A28" s="5" t="inlineStr">
        <is>
          <t>* For this course, the lab should be air-conditioned. Otherwise, the total points achieved will be halved.</t>
        </is>
      </c>
    </row>
  </sheetData>
  <mergeCells count="9">
    <mergeCell ref="A13:G13"/>
    <mergeCell ref="C7:G7"/>
    <mergeCell ref="A1:G1"/>
    <mergeCell ref="A25:E25"/>
    <mergeCell ref="A26:G26"/>
    <mergeCell ref="A24:D24"/>
    <mergeCell ref="C8:G8"/>
    <mergeCell ref="A27:E27"/>
    <mergeCell ref="A28:G2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Mobile Phone Servicing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Mobile Phone Servicing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Mobile Phone Servicing,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 Laptop with software</t>
        </is>
      </c>
      <c r="C16" s="9" t="n">
        <v>5</v>
      </c>
      <c r="D16" s="9" t="n">
        <v>0</v>
      </c>
      <c r="E16" s="9" t="n">
        <v>8</v>
      </c>
      <c r="F16" s="9">
        <f>IFERROR(MIN(C16,D16)*E16/C16,0)</f>
        <v/>
      </c>
      <c r="G16" s="9" t="n"/>
    </row>
    <row r="17" ht="14.15" customHeight="1">
      <c r="A17" s="18" t="n">
        <v>2</v>
      </c>
      <c r="B17" s="8" t="inlineStr">
        <is>
          <t>Multimedia Projector</t>
        </is>
      </c>
      <c r="C17" s="9" t="n">
        <v>1</v>
      </c>
      <c r="D17" s="9" t="n">
        <v>0</v>
      </c>
      <c r="E17" s="9" t="n">
        <v>5</v>
      </c>
      <c r="F17" s="9">
        <f>IFERROR(MIN(C17,D17)*E17/C17,0)</f>
        <v/>
      </c>
      <c r="G17" s="9" t="n"/>
    </row>
    <row r="18" ht="14.15" customHeight="1">
      <c r="A18" s="18" t="n">
        <v>3</v>
      </c>
      <c r="B18" s="8" t="inlineStr">
        <is>
          <t>Working Station</t>
        </is>
      </c>
      <c r="C18" s="9" t="n">
        <v>25</v>
      </c>
      <c r="D18" s="9" t="n">
        <v>0</v>
      </c>
      <c r="E18" s="9" t="n">
        <v>8</v>
      </c>
      <c r="F18" s="9">
        <f>IFERROR(MIN(C18,D18)*E18/C18,0)</f>
        <v/>
      </c>
      <c r="G18" s="9" t="n"/>
    </row>
    <row r="19" ht="14.15" customHeight="1">
      <c r="A19" s="18" t="n">
        <v>4</v>
      </c>
      <c r="B19" s="8" t="inlineStr">
        <is>
          <t>Hot Air Rework Stations</t>
        </is>
      </c>
      <c r="C19" s="9" t="n">
        <v>25</v>
      </c>
      <c r="D19" s="9" t="n">
        <v>0</v>
      </c>
      <c r="E19" s="9" t="n">
        <v>9</v>
      </c>
      <c r="F19" s="9">
        <f>IFERROR(MIN(C19,D19)*E19/C19,0)</f>
        <v/>
      </c>
      <c r="G19" s="9" t="n"/>
    </row>
    <row r="20" ht="14.15" customHeight="1">
      <c r="A20" s="18" t="n">
        <v>5</v>
      </c>
      <c r="B20" s="8" t="inlineStr">
        <is>
          <t>Soldering Stations</t>
        </is>
      </c>
      <c r="C20" s="9" t="n">
        <v>25</v>
      </c>
      <c r="D20" s="9" t="n">
        <v>0</v>
      </c>
      <c r="E20" s="9" t="n">
        <v>9</v>
      </c>
      <c r="F20" s="9">
        <f>IFERROR(MIN(C20,D20)*E20/C20,0)</f>
        <v/>
      </c>
      <c r="G20" s="9" t="n"/>
    </row>
    <row r="21" ht="14.15" customHeight="1">
      <c r="A21" s="18" t="n">
        <v>6</v>
      </c>
      <c r="B21" s="8" t="inlineStr">
        <is>
          <t>Soldering Irons</t>
        </is>
      </c>
      <c r="C21" s="9" t="n">
        <v>25</v>
      </c>
      <c r="D21" s="9" t="n">
        <v>0</v>
      </c>
      <c r="E21" s="9" t="n">
        <v>8</v>
      </c>
      <c r="F21" s="9">
        <f>IFERROR(MIN(C21,D21)*E21/C21,0)</f>
        <v/>
      </c>
      <c r="G21" s="9" t="n"/>
    </row>
    <row r="22" ht="14.15" customHeight="1">
      <c r="A22" s="18" t="n">
        <v>7</v>
      </c>
      <c r="B22" s="8" t="inlineStr">
        <is>
          <t>Multimeters</t>
        </is>
      </c>
      <c r="C22" s="9" t="n">
        <v>25</v>
      </c>
      <c r="D22" s="9" t="n">
        <v>0</v>
      </c>
      <c r="E22" s="9" t="n">
        <v>7</v>
      </c>
      <c r="F22" s="9">
        <f>IFERROR(MIN(C22,D22)*E22/C22,0)</f>
        <v/>
      </c>
      <c r="G22" s="9" t="n"/>
    </row>
    <row r="23" ht="14.15" customHeight="1">
      <c r="A23" s="18" t="n">
        <v>8</v>
      </c>
      <c r="B23" s="8" t="inlineStr">
        <is>
          <t>Power Supply Units</t>
        </is>
      </c>
      <c r="C23" s="9" t="n">
        <v>25</v>
      </c>
      <c r="D23" s="9" t="n">
        <v>0</v>
      </c>
      <c r="E23" s="9" t="n">
        <v>6</v>
      </c>
      <c r="F23" s="9">
        <f>IFERROR(MIN(C23,D23)*E23/C23,0)</f>
        <v/>
      </c>
      <c r="G23" s="9" t="n"/>
    </row>
    <row r="24" ht="14.15" customHeight="1">
      <c r="A24" s="18" t="n">
        <v>9</v>
      </c>
      <c r="B24" s="8" t="inlineStr">
        <is>
          <t>Battery Testers</t>
        </is>
      </c>
      <c r="C24" s="9" t="n">
        <v>5</v>
      </c>
      <c r="D24" s="9" t="n">
        <v>0</v>
      </c>
      <c r="E24" s="9" t="n">
        <v>6</v>
      </c>
      <c r="F24" s="9">
        <f>IFERROR(MIN(C24,D24)*E24/C24,0)</f>
        <v/>
      </c>
      <c r="G24" s="9" t="n"/>
    </row>
    <row r="25" ht="14.15" customHeight="1">
      <c r="A25" s="18" t="n">
        <v>10</v>
      </c>
      <c r="B25" s="8" t="inlineStr">
        <is>
          <t>Screen Testing Jigs (for LCD and touchscreens)</t>
        </is>
      </c>
      <c r="C25" s="9" t="n">
        <v>1</v>
      </c>
      <c r="D25" s="9" t="n">
        <v>0</v>
      </c>
      <c r="E25" s="9" t="n">
        <v>6</v>
      </c>
      <c r="F25" s="9">
        <f>IFERROR(MIN(C25,D25)*E25/C25,0)</f>
        <v/>
      </c>
      <c r="G25" s="9" t="n"/>
    </row>
    <row r="26" ht="14.15" customHeight="1">
      <c r="A26" s="18" t="n">
        <v>11</v>
      </c>
      <c r="B26" s="8" t="inlineStr">
        <is>
          <t>USB Testers (for current and voltage checks)</t>
        </is>
      </c>
      <c r="C26" s="9" t="n">
        <v>5</v>
      </c>
      <c r="D26" s="9" t="n">
        <v>0</v>
      </c>
      <c r="E26" s="9" t="n">
        <v>4</v>
      </c>
      <c r="F26" s="9">
        <f>IFERROR(MIN(C26,D26)*E26/C26,0)</f>
        <v/>
      </c>
      <c r="G26" s="9" t="n"/>
    </row>
    <row r="27" ht="14.15" customHeight="1">
      <c r="A27" s="18" t="n">
        <v>12</v>
      </c>
      <c r="B27" s="8" t="inlineStr">
        <is>
          <t>Screwdrivers Set (Precision set, including Phillips and flathead)</t>
        </is>
      </c>
      <c r="C27" s="9" t="n">
        <v>25</v>
      </c>
      <c r="D27" s="9" t="n">
        <v>0</v>
      </c>
      <c r="E27" s="9" t="n">
        <v>4</v>
      </c>
      <c r="F27" s="9">
        <f>IFERROR(MIN(C27,D27)*E27/C27,0)</f>
        <v/>
      </c>
      <c r="G27" s="9" t="n"/>
    </row>
    <row r="28" ht="14.15" customHeight="1">
      <c r="A28" s="18" t="n">
        <v>13</v>
      </c>
      <c r="B28" s="8" t="inlineStr">
        <is>
          <t>Tweezers (ESD-safe, various sizes)</t>
        </is>
      </c>
      <c r="C28" s="9" t="n">
        <v>25</v>
      </c>
      <c r="D28" s="9" t="n">
        <v>0</v>
      </c>
      <c r="E28" s="9" t="n">
        <v>3</v>
      </c>
      <c r="F28" s="9">
        <f>IFERROR(MIN(C28,D28)*E28/C28,0)</f>
        <v/>
      </c>
      <c r="G28" s="9" t="n"/>
    </row>
    <row r="29" ht="14.15" customHeight="1">
      <c r="A29" s="18" t="n">
        <v>14</v>
      </c>
      <c r="B29" s="8" t="inlineStr">
        <is>
          <t>Opening Tools</t>
        </is>
      </c>
      <c r="C29" s="9" t="n">
        <v>25</v>
      </c>
      <c r="D29" s="9" t="n">
        <v>0</v>
      </c>
      <c r="E29" s="9" t="n">
        <v>3</v>
      </c>
      <c r="F29" s="9">
        <f>IFERROR(MIN(C29,D29)*E29/C29,0)</f>
        <v/>
      </c>
      <c r="G29" s="9" t="n"/>
    </row>
    <row r="30" ht="14.15" customHeight="1">
      <c r="A30" s="18" t="n">
        <v>15</v>
      </c>
      <c r="B30" s="8" t="inlineStr">
        <is>
          <t>SIM Card Ejector Pins</t>
        </is>
      </c>
      <c r="C30" s="9" t="n">
        <v>25</v>
      </c>
      <c r="D30" s="9" t="n">
        <v>0</v>
      </c>
      <c r="E30" s="9" t="n">
        <v>3</v>
      </c>
      <c r="F30" s="9">
        <f>IFERROR(MIN(C30,D30)*E30/C30,0)</f>
        <v/>
      </c>
      <c r="G30" s="9" t="n"/>
    </row>
    <row r="31" ht="14.15" customHeight="1">
      <c r="A31" s="18" t="n">
        <v>16</v>
      </c>
      <c r="B31" s="8" t="inlineStr">
        <is>
          <t>Suction Cups (for screen removal)</t>
        </is>
      </c>
      <c r="C31" s="9" t="n">
        <v>25</v>
      </c>
      <c r="D31" s="9" t="n">
        <v>0</v>
      </c>
      <c r="E31" s="9" t="n">
        <v>3</v>
      </c>
      <c r="F31" s="9">
        <f>IFERROR(MIN(C31,D31)*E31/C31,0)</f>
        <v/>
      </c>
      <c r="G31" s="9" t="n"/>
    </row>
    <row r="32" ht="14.15" customHeight="1">
      <c r="A32" s="18" t="n">
        <v>17</v>
      </c>
      <c r="B32" s="8" t="inlineStr">
        <is>
          <t>Magnifying Glasses with Lamp</t>
        </is>
      </c>
      <c r="C32" s="9" t="n">
        <v>25</v>
      </c>
      <c r="D32" s="9" t="n">
        <v>0</v>
      </c>
      <c r="E32" s="9" t="n">
        <v>4</v>
      </c>
      <c r="F32" s="9">
        <f>IFERROR(MIN(C32,D32)*E32/C32,0)</f>
        <v/>
      </c>
      <c r="G32" s="9" t="n"/>
    </row>
    <row r="33" ht="14.15" customHeight="1">
      <c r="A33" s="18" t="n">
        <v>18</v>
      </c>
      <c r="B33" s="8" t="inlineStr">
        <is>
          <t>Defective Mobile Phone</t>
        </is>
      </c>
      <c r="C33" s="9" t="n">
        <v>15</v>
      </c>
      <c r="D33" s="9" t="n">
        <v>0</v>
      </c>
      <c r="E33" s="9" t="n">
        <v>8</v>
      </c>
      <c r="F33" s="9">
        <f>IFERROR(MIN(C33,D33)*E33/C33,0)</f>
        <v/>
      </c>
      <c r="G33" s="9" t="n"/>
    </row>
    <row r="34" ht="14.15" customHeight="1">
      <c r="A34" s="18" t="n">
        <v>19</v>
      </c>
      <c r="B34" s="8" t="inlineStr">
        <is>
          <t>New Mobile Phone</t>
        </is>
      </c>
      <c r="C34" s="9" t="n">
        <v>10</v>
      </c>
      <c r="D34" s="9" t="n">
        <v>0</v>
      </c>
      <c r="E34" s="9" t="n">
        <v>6</v>
      </c>
      <c r="F34" s="9">
        <f>IFERROR(MIN(C34,D34)*E34/C34,0)</f>
        <v/>
      </c>
      <c r="G34" s="9" t="n"/>
    </row>
    <row r="35">
      <c r="A35" s="19" t="inlineStr">
        <is>
          <t>Sum</t>
        </is>
      </c>
      <c r="B35" s="11" t="n"/>
      <c r="C35" s="11" t="n"/>
      <c r="D35" s="12" t="n"/>
      <c r="E35" s="19">
        <f>SUM(E16:E34)</f>
        <v/>
      </c>
      <c r="F35" s="19">
        <f>SUM(F16:F34)</f>
        <v/>
      </c>
      <c r="G35" s="13" t="n"/>
    </row>
    <row r="36">
      <c r="A36" s="19" t="inlineStr">
        <is>
          <t>Score out of 100</t>
        </is>
      </c>
      <c r="B36" s="11" t="n"/>
      <c r="C36" s="11" t="n"/>
      <c r="D36" s="11" t="n"/>
      <c r="E36" s="12" t="n"/>
      <c r="F36" s="19">
        <f>F35/E35*100</f>
        <v/>
      </c>
      <c r="G36" s="13" t="n"/>
    </row>
    <row r="37" ht="9.75" customHeight="1"/>
    <row r="38">
      <c r="A38" s="19" t="inlineStr">
        <is>
          <t xml:space="preserve">Total achieved points out of 30  </t>
        </is>
      </c>
      <c r="B38" s="11" t="n"/>
      <c r="C38" s="11" t="n"/>
      <c r="D38" s="11" t="n"/>
      <c r="E38" s="12" t="n"/>
      <c r="F38" s="19">
        <f>F36*30/100</f>
        <v/>
      </c>
      <c r="G38" s="19"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Housekeeping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Housekeeping</t>
        </is>
      </c>
      <c r="C8" s="4" t="inlineStr">
        <is>
          <t>Classroom – minimum 350 sft. (33 sqm)
Workshop/ lab – 800 sft. (75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Housekeeping,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Computers/Laptop</t>
        </is>
      </c>
      <c r="C16" s="9" t="n">
        <v>1</v>
      </c>
      <c r="D16" s="9" t="n">
        <v>0</v>
      </c>
      <c r="E16" s="9" t="n">
        <v>5</v>
      </c>
      <c r="F16" s="9">
        <f>IFERROR(MIN(C16,D16)*E16/C16,0)</f>
        <v/>
      </c>
      <c r="G16" s="9" t="n"/>
    </row>
    <row r="17" ht="14.15" customHeight="1">
      <c r="A17" s="18" t="n">
        <v>2</v>
      </c>
      <c r="B17" s="8" t="inlineStr">
        <is>
          <t>Multimedia Projector</t>
        </is>
      </c>
      <c r="C17" s="9" t="n">
        <v>1</v>
      </c>
      <c r="D17" s="9" t="n">
        <v>0</v>
      </c>
      <c r="E17" s="9" t="n">
        <v>5</v>
      </c>
      <c r="F17" s="9">
        <f>IFERROR(MIN(C17,D17)*E17/C17,0)</f>
        <v/>
      </c>
      <c r="G17" s="9" t="n"/>
    </row>
    <row r="18" ht="14.15" customHeight="1">
      <c r="A18" s="18" t="n">
        <v>3</v>
      </c>
      <c r="B18" s="8" t="inlineStr">
        <is>
          <t>Complete set up of hotel room with twin bed and side table</t>
        </is>
      </c>
      <c r="C18" s="9" t="n">
        <v>1</v>
      </c>
      <c r="D18" s="9" t="n">
        <v>0</v>
      </c>
      <c r="E18" s="9" t="n">
        <v>9</v>
      </c>
      <c r="F18" s="9">
        <f>IFERROR(MIN(C18,D18)*E18/C18,0)</f>
        <v/>
      </c>
      <c r="G18" s="9" t="inlineStr">
        <is>
          <t>1 set</t>
        </is>
      </c>
    </row>
    <row r="19" ht="14.15" customHeight="1">
      <c r="A19" s="18" t="n">
        <v>4</v>
      </c>
      <c r="B19" s="8" t="inlineStr">
        <is>
          <t>A set of room materials comprising -
Hospitality tray (drinking water, tea kettle, sugar, coffee, tea, creamer, milk, cup, glass, saucers, spoon), 
Room directory 
Room collateral (Do Not Disturb (DND)/Privacy Please and makeup sign, brochure, minibar price list, room service menu) 
Note pad, Pen/Pencil
Tissue box 
Shoe horn
Laundry bag 
Slipper</t>
        </is>
      </c>
      <c r="C19" s="9" t="n">
        <v>1</v>
      </c>
      <c r="D19" s="9" t="n">
        <v>0</v>
      </c>
      <c r="E19" s="9" t="n">
        <v>8</v>
      </c>
      <c r="F19" s="9">
        <f>IFERROR(MIN(C19,D19)*E19/C19,0)</f>
        <v/>
      </c>
      <c r="G19" s="9" t="inlineStr">
        <is>
          <t>1 set</t>
        </is>
      </c>
    </row>
    <row r="20" ht="14.15" customHeight="1">
      <c r="A20" s="18" t="n">
        <v>5</v>
      </c>
      <c r="B20" s="8" t="inlineStr">
        <is>
          <t>Bin Basket</t>
        </is>
      </c>
      <c r="C20" s="9" t="n">
        <v>2</v>
      </c>
      <c r="D20" s="9" t="n">
        <v>0</v>
      </c>
      <c r="E20" s="9" t="n">
        <v>3</v>
      </c>
      <c r="F20" s="9">
        <f>IFERROR(MIN(C20,D20)*E20/C20,0)</f>
        <v/>
      </c>
      <c r="G20" s="9" t="n"/>
    </row>
    <row r="21" ht="14.15" customHeight="1">
      <c r="A21" s="18" t="n">
        <v>6</v>
      </c>
      <c r="B21" s="8" t="inlineStr">
        <is>
          <t>Complete set up of bathroom with bathtub</t>
        </is>
      </c>
      <c r="C21" s="9" t="n">
        <v>1</v>
      </c>
      <c r="D21" s="9" t="n">
        <v>0</v>
      </c>
      <c r="E21" s="9" t="n">
        <v>9</v>
      </c>
      <c r="F21" s="9">
        <f>IFERROR(MIN(C21,D21)*E21/C21,0)</f>
        <v/>
      </c>
      <c r="G21" s="9" t="n"/>
    </row>
    <row r="22" ht="14.15" customHeight="1">
      <c r="A22" s="18" t="n">
        <v>7</v>
      </c>
      <c r="B22" s="8" t="inlineStr">
        <is>
          <t>Bath room amenities: Soap (hand and bath), shampoo, Shower gel, Conditioner, Body lotion, Sanitary bag (women), Dental kit (Tooth paste and brush), Shaving kit, Loofa, Shower cap, Comb</t>
        </is>
      </c>
      <c r="C22" s="9" t="n">
        <v>1</v>
      </c>
      <c r="D22" s="9" t="n">
        <v>0</v>
      </c>
      <c r="E22" s="9" t="n">
        <v>6</v>
      </c>
      <c r="F22" s="9">
        <f>IFERROR(MIN(C22,D22)*E22/C22,0)</f>
        <v/>
      </c>
      <c r="G22" s="9" t="inlineStr">
        <is>
          <t>1 set</t>
        </is>
      </c>
    </row>
    <row r="23" ht="14.15" customHeight="1">
      <c r="A23" s="18" t="n">
        <v>8</v>
      </c>
      <c r="B23" s="8" t="inlineStr">
        <is>
          <t>Room attendant trolley</t>
        </is>
      </c>
      <c r="C23" s="9" t="n">
        <v>1</v>
      </c>
      <c r="D23" s="9" t="n">
        <v>0</v>
      </c>
      <c r="E23" s="9" t="n">
        <v>7</v>
      </c>
      <c r="F23" s="9">
        <f>IFERROR(MIN(C23,D23)*E23/C23,0)</f>
        <v/>
      </c>
      <c r="G23" s="9" t="n"/>
    </row>
    <row r="24" ht="14.15" customHeight="1">
      <c r="A24" s="18" t="n">
        <v>9</v>
      </c>
      <c r="B24" s="8" t="inlineStr">
        <is>
          <t>Air-Conditioner</t>
        </is>
      </c>
      <c r="C24" s="9" t="n">
        <v>1</v>
      </c>
      <c r="D24" s="9" t="n">
        <v>0</v>
      </c>
      <c r="E24" s="9" t="n">
        <v>5</v>
      </c>
      <c r="F24" s="9">
        <f>IFERROR(MIN(C24,D24)*E24/C24,0)</f>
        <v/>
      </c>
      <c r="G24" s="9" t="n"/>
    </row>
    <row r="25" ht="14.15" customHeight="1">
      <c r="A25" s="18" t="n">
        <v>10</v>
      </c>
      <c r="B25" s="8" t="inlineStr">
        <is>
          <t>Television (LED)</t>
        </is>
      </c>
      <c r="C25" s="9" t="n">
        <v>1</v>
      </c>
      <c r="D25" s="9" t="n">
        <v>0</v>
      </c>
      <c r="E25" s="9" t="n">
        <v>5</v>
      </c>
      <c r="F25" s="9">
        <f>IFERROR(MIN(C25,D25)*E25/C25,0)</f>
        <v/>
      </c>
      <c r="G25" s="9" t="n"/>
    </row>
    <row r="26" ht="14.15" customHeight="1">
      <c r="A26" s="18" t="n">
        <v>11</v>
      </c>
      <c r="B26" s="8" t="inlineStr">
        <is>
          <t>Minibar</t>
        </is>
      </c>
      <c r="C26" s="9" t="n">
        <v>1</v>
      </c>
      <c r="D26" s="9" t="n">
        <v>0</v>
      </c>
      <c r="E26" s="9" t="n">
        <v>5</v>
      </c>
      <c r="F26" s="9">
        <f>IFERROR(MIN(C26,D26)*E26/C26,0)</f>
        <v/>
      </c>
      <c r="G26" s="9" t="n"/>
    </row>
    <row r="27" ht="14.15" customHeight="1">
      <c r="A27" s="18" t="n">
        <v>12</v>
      </c>
      <c r="B27" s="8" t="inlineStr">
        <is>
          <t>Safe deposit box</t>
        </is>
      </c>
      <c r="C27" s="9" t="n">
        <v>1</v>
      </c>
      <c r="D27" s="9" t="n">
        <v>0</v>
      </c>
      <c r="E27" s="9" t="n">
        <v>5</v>
      </c>
      <c r="F27" s="9">
        <f>IFERROR(MIN(C27,D27)*E27/C27,0)</f>
        <v/>
      </c>
      <c r="G27" s="9" t="n"/>
    </row>
    <row r="28" ht="14.15" customHeight="1">
      <c r="A28" s="18" t="n">
        <v>13</v>
      </c>
      <c r="B28" s="8" t="inlineStr">
        <is>
          <t>Cub board with three types of hangers</t>
        </is>
      </c>
      <c r="C28" s="9" t="n">
        <v>1</v>
      </c>
      <c r="D28" s="9" t="n">
        <v>0</v>
      </c>
      <c r="E28" s="9" t="n">
        <v>5</v>
      </c>
      <c r="F28" s="9">
        <f>IFERROR(MIN(C28,D28)*E28/C28,0)</f>
        <v/>
      </c>
      <c r="G28" s="9" t="n"/>
    </row>
    <row r="29" ht="14.15" customHeight="1">
      <c r="A29" s="18" t="n">
        <v>14</v>
      </c>
      <c r="B29" s="8" t="inlineStr">
        <is>
          <t>Writing desk with chair</t>
        </is>
      </c>
      <c r="C29" s="9" t="n">
        <v>1</v>
      </c>
      <c r="D29" s="9" t="n">
        <v>0</v>
      </c>
      <c r="E29" s="9" t="n">
        <v>4</v>
      </c>
      <c r="F29" s="9">
        <f>IFERROR(MIN(C29,D29)*E29/C29,0)</f>
        <v/>
      </c>
      <c r="G29" s="9" t="n"/>
    </row>
    <row r="30" ht="14.15" customHeight="1">
      <c r="A30" s="18" t="n">
        <v>15</v>
      </c>
      <c r="B30" s="8" t="inlineStr">
        <is>
          <t>Linens (Bed sheet, Duvet and cover, pillow with cover, bed runner and bed cushion)</t>
        </is>
      </c>
      <c r="C30" s="9" t="n">
        <v>1</v>
      </c>
      <c r="D30" s="9" t="n">
        <v>0</v>
      </c>
      <c r="E30" s="9" t="n">
        <v>7</v>
      </c>
      <c r="F30" s="9">
        <f>IFERROR(MIN(C30,D30)*E30/C30,0)</f>
        <v/>
      </c>
      <c r="G30" s="9" t="inlineStr">
        <is>
          <t>1 set</t>
        </is>
      </c>
    </row>
    <row r="31" ht="14.15" customHeight="1">
      <c r="A31" s="18" t="n">
        <v>16</v>
      </c>
      <c r="B31" s="8" t="inlineStr">
        <is>
          <t>Terry (Bath towel, hand towel, face towel, bath met and bathrobe)</t>
        </is>
      </c>
      <c r="C31" s="9" t="n">
        <v>1</v>
      </c>
      <c r="D31" s="9" t="n">
        <v>0</v>
      </c>
      <c r="E31" s="9" t="n">
        <v>7</v>
      </c>
      <c r="F31" s="9">
        <f>IFERROR(MIN(C31,D31)*E31/C31,0)</f>
        <v/>
      </c>
      <c r="G31" s="9" t="inlineStr">
        <is>
          <t>1 set</t>
        </is>
      </c>
    </row>
    <row r="32" ht="14.15" customHeight="1">
      <c r="A32" s="18" t="n">
        <v>17</v>
      </c>
      <c r="B32" s="8" t="inlineStr">
        <is>
          <t>Hand iron with board</t>
        </is>
      </c>
      <c r="C32" s="9" t="n">
        <v>2</v>
      </c>
      <c r="D32" s="9" t="n">
        <v>0</v>
      </c>
      <c r="E32" s="9" t="n">
        <v>6</v>
      </c>
      <c r="F32" s="9">
        <f>IFERROR(MIN(C32,D32)*E32/C32,0)</f>
        <v/>
      </c>
      <c r="G32" s="9" t="n"/>
    </row>
    <row r="33" ht="14.15" customHeight="1">
      <c r="A33" s="18" t="n">
        <v>18</v>
      </c>
      <c r="B33" s="8" t="inlineStr">
        <is>
          <t>Hand Brush</t>
        </is>
      </c>
      <c r="C33" s="9" t="n">
        <v>5</v>
      </c>
      <c r="D33" s="9" t="n">
        <v>0</v>
      </c>
      <c r="E33" s="9" t="n">
        <v>3</v>
      </c>
      <c r="F33" s="9">
        <f>IFERROR(MIN(C33,D33)*E33/C33,0)</f>
        <v/>
      </c>
      <c r="G33" s="9" t="n"/>
    </row>
    <row r="34" ht="14.15" customHeight="1">
      <c r="A34" s="18" t="n">
        <v>19</v>
      </c>
      <c r="B34" s="8" t="inlineStr">
        <is>
          <t>Bucket</t>
        </is>
      </c>
      <c r="C34" s="9" t="n">
        <v>2</v>
      </c>
      <c r="D34" s="9" t="n">
        <v>0</v>
      </c>
      <c r="E34" s="9" t="n">
        <v>3</v>
      </c>
      <c r="F34" s="9">
        <f>IFERROR(MIN(C34,D34)*E34/C34,0)</f>
        <v/>
      </c>
      <c r="G34" s="9" t="n"/>
    </row>
    <row r="35" ht="14.15" customHeight="1">
      <c r="A35" s="18" t="n">
        <v>20</v>
      </c>
      <c r="B35" s="8" t="inlineStr">
        <is>
          <t>Telephone set</t>
        </is>
      </c>
      <c r="C35" s="9" t="n">
        <v>1</v>
      </c>
      <c r="D35" s="9" t="n">
        <v>0</v>
      </c>
      <c r="E35" s="9" t="n">
        <v>4</v>
      </c>
      <c r="F35" s="9">
        <f>IFERROR(MIN(C35,D35)*E35/C35,0)</f>
        <v/>
      </c>
      <c r="G35" s="9" t="n"/>
    </row>
    <row r="36" ht="14.15" customHeight="1">
      <c r="A36" s="18" t="n">
        <v>21</v>
      </c>
      <c r="B36" s="8" t="inlineStr">
        <is>
          <t>Tub chair and coffee table</t>
        </is>
      </c>
      <c r="C36" s="9" t="n">
        <v>1</v>
      </c>
      <c r="D36" s="9" t="n">
        <v>0</v>
      </c>
      <c r="E36" s="9" t="n">
        <v>4</v>
      </c>
      <c r="F36" s="9">
        <f>IFERROR(MIN(C36,D36)*E36/C36,0)</f>
        <v/>
      </c>
      <c r="G36" s="9" t="n"/>
    </row>
    <row r="37" ht="14.15" customHeight="1">
      <c r="A37" s="18" t="n">
        <v>22</v>
      </c>
      <c r="B37" s="8" t="inlineStr">
        <is>
          <t>Vacuum cleaner (wet and dry)</t>
        </is>
      </c>
      <c r="C37" s="9" t="n">
        <v>1</v>
      </c>
      <c r="D37" s="9" t="n">
        <v>0</v>
      </c>
      <c r="E37" s="9" t="n">
        <v>7</v>
      </c>
      <c r="F37" s="9">
        <f>IFERROR(MIN(C37,D37)*E37/C37,0)</f>
        <v/>
      </c>
      <c r="G37" s="9" t="n"/>
    </row>
    <row r="38" ht="14.15" customHeight="1">
      <c r="A38" s="18" t="n">
        <v>23</v>
      </c>
      <c r="B38" s="8" t="inlineStr">
        <is>
          <t>Glass wiper (short/long)</t>
        </is>
      </c>
      <c r="C38" s="9" t="n">
        <v>4</v>
      </c>
      <c r="D38" s="9" t="n">
        <v>0</v>
      </c>
      <c r="E38" s="9" t="n">
        <v>4</v>
      </c>
      <c r="F38" s="9">
        <f>IFERROR(MIN(C38,D38)*E38/C38,0)</f>
        <v/>
      </c>
      <c r="G38" s="9" t="n"/>
    </row>
    <row r="39" ht="14.15" customHeight="1">
      <c r="A39" s="18" t="n">
        <v>24</v>
      </c>
      <c r="B39" s="8" t="inlineStr">
        <is>
          <t>Squeezer (short/long)</t>
        </is>
      </c>
      <c r="C39" s="9" t="n">
        <v>4</v>
      </c>
      <c r="D39" s="9" t="n">
        <v>0</v>
      </c>
      <c r="E39" s="9" t="n">
        <v>4</v>
      </c>
      <c r="F39" s="9">
        <f>IFERROR(MIN(C39,D39)*E39/C39,0)</f>
        <v/>
      </c>
      <c r="G39" s="9" t="n"/>
    </row>
    <row r="40" ht="14.15" customHeight="1">
      <c r="A40" s="18" t="n">
        <v>25</v>
      </c>
      <c r="B40" s="8" t="inlineStr">
        <is>
          <t>Ladder</t>
        </is>
      </c>
      <c r="C40" s="9" t="n">
        <v>1</v>
      </c>
      <c r="D40" s="9" t="n">
        <v>0</v>
      </c>
      <c r="E40" s="9" t="n">
        <v>4</v>
      </c>
      <c r="F40" s="9">
        <f>IFERROR(MIN(C40,D40)*E40/C40,0)</f>
        <v/>
      </c>
      <c r="G40" s="9" t="n"/>
    </row>
    <row r="41" ht="14.15" customHeight="1">
      <c r="A41" s="18" t="n">
        <v>26</v>
      </c>
      <c r="B41" s="8" t="inlineStr">
        <is>
          <t>Hand caddie box</t>
        </is>
      </c>
      <c r="C41" s="9" t="n">
        <v>2</v>
      </c>
      <c r="D41" s="9" t="n">
        <v>0</v>
      </c>
      <c r="E41" s="9" t="n">
        <v>3</v>
      </c>
      <c r="F41" s="9">
        <f>IFERROR(MIN(C41,D41)*E41/C41,0)</f>
        <v/>
      </c>
      <c r="G41" s="9" t="n"/>
    </row>
    <row r="42" ht="14.15" customHeight="1">
      <c r="A42" s="18" t="n">
        <v>27</v>
      </c>
      <c r="B42" s="8" t="inlineStr">
        <is>
          <t>Prayer mat</t>
        </is>
      </c>
      <c r="C42" s="9" t="n">
        <v>1</v>
      </c>
      <c r="D42" s="9" t="n">
        <v>0</v>
      </c>
      <c r="E42" s="9" t="n">
        <v>3</v>
      </c>
      <c r="F42" s="9">
        <f>IFERROR(MIN(C42,D42)*E42/C42,0)</f>
        <v/>
      </c>
      <c r="G42" s="9" t="n"/>
    </row>
    <row r="43">
      <c r="A43" s="19" t="inlineStr">
        <is>
          <t>Sum</t>
        </is>
      </c>
      <c r="B43" s="11" t="n"/>
      <c r="C43" s="11" t="n"/>
      <c r="D43" s="12" t="n"/>
      <c r="E43" s="19">
        <f>SUM(E16:E42)</f>
        <v/>
      </c>
      <c r="F43" s="19">
        <f>SUM(F16:F42)</f>
        <v/>
      </c>
      <c r="G43" s="13" t="n"/>
    </row>
    <row r="44">
      <c r="A44" s="19" t="inlineStr">
        <is>
          <t>Score out of 100</t>
        </is>
      </c>
      <c r="B44" s="11" t="n"/>
      <c r="C44" s="11" t="n"/>
      <c r="D44" s="11" t="n"/>
      <c r="E44" s="12" t="n"/>
      <c r="F44" s="19">
        <f>F43/E43*100</f>
        <v/>
      </c>
      <c r="G44" s="13" t="n"/>
    </row>
    <row r="45" ht="9.75" customHeight="1"/>
    <row r="46">
      <c r="A46" s="19" t="inlineStr">
        <is>
          <t xml:space="preserve">Total achieved points out of 30  </t>
        </is>
      </c>
      <c r="B46" s="11" t="n"/>
      <c r="C46" s="11" t="n"/>
      <c r="D46" s="11" t="n"/>
      <c r="E46" s="12" t="n"/>
      <c r="F46" s="19">
        <f>F44*30/100</f>
        <v/>
      </c>
      <c r="G46" s="19" t="inlineStr">
        <is>
          <t>Points</t>
        </is>
      </c>
    </row>
  </sheetData>
  <mergeCells count="8">
    <mergeCell ref="A13:G13"/>
    <mergeCell ref="C7:G7"/>
    <mergeCell ref="A1:G1"/>
    <mergeCell ref="A43:D43"/>
    <mergeCell ref="A46:E46"/>
    <mergeCell ref="A44:E44"/>
    <mergeCell ref="C8:G8"/>
    <mergeCell ref="A45:G4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2026-09-23T11:00:01Z</dcterms:modified>
</cp:coreProperties>
</file>
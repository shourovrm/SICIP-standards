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Footwear Multitask" sheetId="1" state="visible" r:id="rId1"/>
    <sheet xmlns:r="http://schemas.openxmlformats.org/officeDocument/2006/relationships" name="2-Leather Goods Multitask" sheetId="2" state="visible" r:id="rId2"/>
    <sheet xmlns:r="http://schemas.openxmlformats.org/officeDocument/2006/relationships" name="3-Footwear CAD CAM" sheetId="3" state="visible" r:id="rId3"/>
    <sheet xmlns:r="http://schemas.openxmlformats.org/officeDocument/2006/relationships" name="4-Compliance Sustainability" sheetId="4" state="visible" r:id="rId4"/>
    <sheet xmlns:r="http://schemas.openxmlformats.org/officeDocument/2006/relationships" name="5-Industrial Productivity" sheetId="5" state="visible" r:id="rId5"/>
    <sheet xmlns:r="http://schemas.openxmlformats.org/officeDocument/2006/relationships" name="6-Supervisory Leadership" sheetId="6" state="visible" r:id="rId6"/>
    <sheet xmlns:r="http://schemas.openxmlformats.org/officeDocument/2006/relationships" name="7-Supply Chain Mgmt" sheetId="7" state="visible" r:id="rId7"/>
    <sheet xmlns:r="http://schemas.openxmlformats.org/officeDocument/2006/relationships" name="8-Merchandising" sheetId="8" state="visible" r:id="rId8"/>
    <sheet xmlns:r="http://schemas.openxmlformats.org/officeDocument/2006/relationships" name="9-Quality Control"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Multitasking Operation for Footwear Manufacturing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Multitasking Operation for Footwear Manufacturing</t>
        </is>
      </c>
      <c r="C8" s="4" t="inlineStr">
        <is>
          <t>Classroom : 350 sq. ft.
Workshop/Lab : 800-1000 sq. ft.</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Multitasking Operation for Footwear Manufacturing,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Beam cutting machine</t>
        </is>
      </c>
      <c r="C16" s="9" t="n">
        <v>1</v>
      </c>
      <c r="D16" s="9" t="n"/>
      <c r="E16" s="9" t="n">
        <v>9</v>
      </c>
      <c r="F16" s="9">
        <f>IFERROR(MIN(C16,D16)*E16/C16,0)</f>
        <v/>
      </c>
      <c r="G16" s="9" t="n"/>
    </row>
    <row r="17" ht="14.15" customHeight="1">
      <c r="A17" s="7" t="n">
        <v>2</v>
      </c>
      <c r="B17" s="8" t="inlineStr">
        <is>
          <t>Swing arm clicking press</t>
        </is>
      </c>
      <c r="C17" s="9" t="n">
        <v>1</v>
      </c>
      <c r="D17" s="9" t="n"/>
      <c r="E17" s="9" t="n">
        <v>9</v>
      </c>
      <c r="F17" s="9">
        <f>IFERROR(MIN(C17,D17)*E17/C17,0)</f>
        <v/>
      </c>
      <c r="G17" s="9" t="n"/>
    </row>
    <row r="18" ht="14.15" customHeight="1">
      <c r="A18" s="7" t="n">
        <v>3</v>
      </c>
      <c r="B18" s="8" t="inlineStr">
        <is>
          <t>Travelling head clicking press (THCP)</t>
        </is>
      </c>
      <c r="C18" s="9" t="n">
        <v>1</v>
      </c>
      <c r="D18" s="9" t="n"/>
      <c r="E18" s="9" t="n">
        <v>9</v>
      </c>
      <c r="F18" s="9">
        <f>IFERROR(MIN(C18,D18)*E18/C18,0)</f>
        <v/>
      </c>
      <c r="G18" s="9" t="n"/>
    </row>
    <row r="19" ht="14.15" customHeight="1">
      <c r="A19" s="7" t="n">
        <v>4</v>
      </c>
      <c r="B19" s="8" t="inlineStr">
        <is>
          <t>Skiving Machine</t>
        </is>
      </c>
      <c r="C19" s="9" t="n">
        <v>2</v>
      </c>
      <c r="D19" s="9" t="n"/>
      <c r="E19" s="9" t="n">
        <v>8</v>
      </c>
      <c r="F19" s="9">
        <f>IFERROR(MIN(C19,D19)*E19/C19,0)</f>
        <v/>
      </c>
      <c r="G19" s="9" t="n"/>
    </row>
    <row r="20" ht="14.15" customHeight="1">
      <c r="A20" s="7" t="n">
        <v>5</v>
      </c>
      <c r="B20" s="8" t="inlineStr">
        <is>
          <t>Folding  Machine</t>
        </is>
      </c>
      <c r="C20" s="9" t="n">
        <v>1</v>
      </c>
      <c r="D20" s="9" t="n"/>
      <c r="E20" s="9" t="n">
        <v>7</v>
      </c>
      <c r="F20" s="9">
        <f>IFERROR(MIN(C20,D20)*E20/C20,0)</f>
        <v/>
      </c>
      <c r="G20" s="9" t="n"/>
    </row>
    <row r="21" ht="14.15" customHeight="1">
      <c r="A21" s="7" t="n">
        <v>6</v>
      </c>
      <c r="B21" s="8" t="inlineStr">
        <is>
          <t>Fusing Machine</t>
        </is>
      </c>
      <c r="C21" s="9" t="n">
        <v>1</v>
      </c>
      <c r="D21" s="9" t="n"/>
      <c r="E21" s="9" t="n">
        <v>7</v>
      </c>
      <c r="F21" s="9">
        <f>IFERROR(MIN(C21,D21)*E21/C21,0)</f>
        <v/>
      </c>
      <c r="G21" s="9" t="n"/>
    </row>
    <row r="22" ht="14.15" customHeight="1">
      <c r="A22" s="7" t="n">
        <v>7</v>
      </c>
      <c r="B22" s="8" t="inlineStr">
        <is>
          <t>Emboss Machine</t>
        </is>
      </c>
      <c r="C22" s="9" t="n">
        <v>1</v>
      </c>
      <c r="D22" s="9" t="n"/>
      <c r="E22" s="9" t="n">
        <v>6</v>
      </c>
      <c r="F22" s="9">
        <f>IFERROR(MIN(C22,D22)*E22/C22,0)</f>
        <v/>
      </c>
      <c r="G22" s="9" t="n"/>
    </row>
    <row r="23" ht="14.15" customHeight="1">
      <c r="A23" s="7" t="n">
        <v>8</v>
      </c>
      <c r="B23" s="8" t="inlineStr">
        <is>
          <t>Flatbed Sewing Machine</t>
        </is>
      </c>
      <c r="C23" s="9" t="n">
        <v>2</v>
      </c>
      <c r="D23" s="9" t="n"/>
      <c r="E23" s="9" t="n">
        <v>8</v>
      </c>
      <c r="F23" s="9">
        <f>IFERROR(MIN(C23,D23)*E23/C23,0)</f>
        <v/>
      </c>
      <c r="G23" s="9" t="n"/>
    </row>
    <row r="24" ht="14.15" customHeight="1">
      <c r="A24" s="7" t="n">
        <v>9</v>
      </c>
      <c r="B24" s="8" t="inlineStr">
        <is>
          <t>Post bed Sewing machine</t>
        </is>
      </c>
      <c r="C24" s="9" t="n">
        <v>2</v>
      </c>
      <c r="D24" s="9" t="n"/>
      <c r="E24" s="9" t="n">
        <v>8</v>
      </c>
      <c r="F24" s="9">
        <f>IFERROR(MIN(C24,D24)*E24/C24,0)</f>
        <v/>
      </c>
      <c r="G24" s="9" t="n"/>
    </row>
    <row r="25" ht="14.15" customHeight="1">
      <c r="A25" s="7" t="n">
        <v>10</v>
      </c>
      <c r="B25" s="8" t="inlineStr">
        <is>
          <t>Flatbed Zigzag Sewing Machine</t>
        </is>
      </c>
      <c r="C25" s="9" t="n">
        <v>1</v>
      </c>
      <c r="D25" s="9" t="n"/>
      <c r="E25" s="9" t="n">
        <v>7</v>
      </c>
      <c r="F25" s="9">
        <f>IFERROR(MIN(C25,D25)*E25/C25,0)</f>
        <v/>
      </c>
      <c r="G25" s="9" t="n"/>
    </row>
    <row r="26" ht="14.15" customHeight="1">
      <c r="A26" s="7" t="n">
        <v>11</v>
      </c>
      <c r="B26" s="8" t="inlineStr">
        <is>
          <t>Counter Molding Machine</t>
        </is>
      </c>
      <c r="C26" s="9" t="n">
        <v>1</v>
      </c>
      <c r="D26" s="9" t="n"/>
      <c r="E26" s="9" t="n">
        <v>8</v>
      </c>
      <c r="F26" s="9">
        <f>IFERROR(MIN(C26,D26)*E26/C26,0)</f>
        <v/>
      </c>
      <c r="G26" s="9" t="n"/>
    </row>
    <row r="27" ht="14.15" customHeight="1">
      <c r="A27" s="7" t="n">
        <v>12</v>
      </c>
      <c r="B27" s="8" t="inlineStr">
        <is>
          <t>Toe Lasting Machine</t>
        </is>
      </c>
      <c r="C27" s="9" t="n">
        <v>1</v>
      </c>
      <c r="D27" s="9" t="n"/>
      <c r="E27" s="9" t="n">
        <v>9</v>
      </c>
      <c r="F27" s="9">
        <f>IFERROR(MIN(C27,D27)*E27/C27,0)</f>
        <v/>
      </c>
      <c r="G27" s="9" t="n"/>
    </row>
    <row r="28" ht="14.15" customHeight="1">
      <c r="A28" s="7" t="n">
        <v>13</v>
      </c>
      <c r="B28" s="8" t="inlineStr">
        <is>
          <t>Seat and Side/ Heel Lasting Machine</t>
        </is>
      </c>
      <c r="C28" s="9" t="n">
        <v>1</v>
      </c>
      <c r="D28" s="9" t="n"/>
      <c r="E28" s="9" t="n">
        <v>9</v>
      </c>
      <c r="F28" s="9">
        <f>IFERROR(MIN(C28,D28)*E28/C28,0)</f>
        <v/>
      </c>
      <c r="G28" s="9" t="n"/>
    </row>
    <row r="29" ht="14.15" customHeight="1">
      <c r="A29" s="7" t="n">
        <v>14</v>
      </c>
      <c r="B29" s="8" t="inlineStr">
        <is>
          <t>Roughing Machine</t>
        </is>
      </c>
      <c r="C29" s="9" t="n">
        <v>1</v>
      </c>
      <c r="D29" s="9" t="n"/>
      <c r="E29" s="9" t="n">
        <v>7</v>
      </c>
      <c r="F29" s="9">
        <f>IFERROR(MIN(C29,D29)*E29/C29,0)</f>
        <v/>
      </c>
      <c r="G29" s="9" t="n"/>
    </row>
    <row r="30" ht="14.15" customHeight="1">
      <c r="A30" s="7" t="n">
        <v>15</v>
      </c>
      <c r="B30" s="8" t="inlineStr">
        <is>
          <t>Heat Reactivator</t>
        </is>
      </c>
      <c r="C30" s="9" t="n">
        <v>1</v>
      </c>
      <c r="D30" s="9" t="n"/>
      <c r="E30" s="9" t="n">
        <v>6</v>
      </c>
      <c r="F30" s="9">
        <f>IFERROR(MIN(C30,D30)*E30/C30,0)</f>
        <v/>
      </c>
      <c r="G30" s="9" t="n"/>
    </row>
    <row r="31" ht="14.15" customHeight="1">
      <c r="A31" s="7" t="n">
        <v>16</v>
      </c>
      <c r="B31" s="8" t="inlineStr">
        <is>
          <t>Sole press machine</t>
        </is>
      </c>
      <c r="C31" s="9" t="n">
        <v>1</v>
      </c>
      <c r="D31" s="9" t="n"/>
      <c r="E31" s="9" t="n">
        <v>8</v>
      </c>
      <c r="F31" s="9">
        <f>IFERROR(MIN(C31,D31)*E31/C31,0)</f>
        <v/>
      </c>
      <c r="G31" s="9" t="n"/>
    </row>
    <row r="32" ht="14.15" customHeight="1">
      <c r="A32" s="7" t="n">
        <v>17</v>
      </c>
      <c r="B32" s="8" t="inlineStr">
        <is>
          <t>Nailing Machine</t>
        </is>
      </c>
      <c r="C32" s="9" t="n">
        <v>1</v>
      </c>
      <c r="D32" s="9" t="n"/>
      <c r="E32" s="9" t="n">
        <v>6</v>
      </c>
      <c r="F32" s="9">
        <f>IFERROR(MIN(C32,D32)*E32/C32,0)</f>
        <v/>
      </c>
      <c r="G32" s="9" t="n"/>
    </row>
    <row r="33" ht="14.15" customHeight="1">
      <c r="A33" s="7" t="n">
        <v>18</v>
      </c>
      <c r="B33" s="8" t="inlineStr">
        <is>
          <t>Polishing Machine</t>
        </is>
      </c>
      <c r="C33" s="9" t="n">
        <v>1</v>
      </c>
      <c r="D33" s="9" t="n"/>
      <c r="E33" s="9" t="n">
        <v>6</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Multitasking Operation for Leather Goods Manufacturing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Multitasking Operation for Leather Goods Manufacturing</t>
        </is>
      </c>
      <c r="C8" s="4" t="inlineStr">
        <is>
          <t>Classroom : 350 sft
Workshop : 800-1000 sft</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Multitasking Operation for Leather Goods Manufacturing,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Beam cutting machine</t>
        </is>
      </c>
      <c r="C16" s="9" t="n">
        <v>1</v>
      </c>
      <c r="D16" s="9" t="n"/>
      <c r="E16" s="9" t="n">
        <v>9</v>
      </c>
      <c r="F16" s="9">
        <f>IFERROR(MIN(C16,D16)*E16/C16,0)</f>
        <v/>
      </c>
      <c r="G16" s="9" t="n"/>
    </row>
    <row r="17" ht="14.15" customHeight="1">
      <c r="A17" s="7" t="n">
        <v>2</v>
      </c>
      <c r="B17" s="8" t="inlineStr">
        <is>
          <t>Swing arm clicking press</t>
        </is>
      </c>
      <c r="C17" s="9" t="n">
        <v>1</v>
      </c>
      <c r="D17" s="9" t="n"/>
      <c r="E17" s="9" t="n">
        <v>9</v>
      </c>
      <c r="F17" s="9">
        <f>IFERROR(MIN(C17,D17)*E17/C17,0)</f>
        <v/>
      </c>
      <c r="G17" s="9" t="n"/>
    </row>
    <row r="18" ht="14.15" customHeight="1">
      <c r="A18" s="7" t="n">
        <v>3</v>
      </c>
      <c r="B18" s="8" t="inlineStr">
        <is>
          <t>Travelling head clicking press (THCP)</t>
        </is>
      </c>
      <c r="C18" s="9" t="n">
        <v>1</v>
      </c>
      <c r="D18" s="9" t="n"/>
      <c r="E18" s="9" t="n">
        <v>9</v>
      </c>
      <c r="F18" s="9">
        <f>IFERROR(MIN(C18,D18)*E18/C18,0)</f>
        <v/>
      </c>
      <c r="G18" s="9" t="n"/>
    </row>
    <row r="19" ht="14.15" customHeight="1">
      <c r="A19" s="7" t="n">
        <v>4</v>
      </c>
      <c r="B19" s="8" t="inlineStr">
        <is>
          <t>Splitting machine</t>
        </is>
      </c>
      <c r="C19" s="9" t="n">
        <v>1</v>
      </c>
      <c r="D19" s="9" t="n"/>
      <c r="E19" s="9" t="n">
        <v>8</v>
      </c>
      <c r="F19" s="9">
        <f>IFERROR(MIN(C19,D19)*E19/C19,0)</f>
        <v/>
      </c>
      <c r="G19" s="9" t="n"/>
    </row>
    <row r="20" ht="14.15" customHeight="1">
      <c r="A20" s="7" t="n">
        <v>5</v>
      </c>
      <c r="B20" s="8" t="inlineStr">
        <is>
          <t>Skiving Machine</t>
        </is>
      </c>
      <c r="C20" s="9" t="n">
        <v>2</v>
      </c>
      <c r="D20" s="9" t="n"/>
      <c r="E20" s="9" t="n">
        <v>8</v>
      </c>
      <c r="F20" s="9">
        <f>IFERROR(MIN(C20,D20)*E20/C20,0)</f>
        <v/>
      </c>
      <c r="G20" s="9" t="n"/>
    </row>
    <row r="21" ht="14.15" customHeight="1">
      <c r="A21" s="7" t="n">
        <v>6</v>
      </c>
      <c r="B21" s="8" t="inlineStr">
        <is>
          <t>Folding Machine</t>
        </is>
      </c>
      <c r="C21" s="9" t="n">
        <v>1</v>
      </c>
      <c r="D21" s="9" t="n"/>
      <c r="E21" s="9" t="n">
        <v>7</v>
      </c>
      <c r="F21" s="9">
        <f>IFERROR(MIN(C21,D21)*E21/C21,0)</f>
        <v/>
      </c>
      <c r="G21" s="9" t="n"/>
    </row>
    <row r="22" ht="14.15" customHeight="1">
      <c r="A22" s="7" t="n">
        <v>7</v>
      </c>
      <c r="B22" s="8" t="inlineStr">
        <is>
          <t>Fusing Machine</t>
        </is>
      </c>
      <c r="C22" s="9" t="n">
        <v>1</v>
      </c>
      <c r="D22" s="9" t="n"/>
      <c r="E22" s="9" t="n">
        <v>7</v>
      </c>
      <c r="F22" s="9">
        <f>IFERROR(MIN(C22,D22)*E22/C22,0)</f>
        <v/>
      </c>
      <c r="G22" s="9" t="n"/>
    </row>
    <row r="23" ht="14.15" customHeight="1">
      <c r="A23" s="7" t="n">
        <v>8</v>
      </c>
      <c r="B23" s="8" t="inlineStr">
        <is>
          <t>Emboss/ Deboss Machine</t>
        </is>
      </c>
      <c r="C23" s="9" t="n">
        <v>1</v>
      </c>
      <c r="D23" s="9" t="n"/>
      <c r="E23" s="9" t="n">
        <v>6</v>
      </c>
      <c r="F23" s="9">
        <f>IFERROR(MIN(C23,D23)*E23/C23,0)</f>
        <v/>
      </c>
      <c r="G23" s="9" t="n"/>
    </row>
    <row r="24" ht="14.15" customHeight="1">
      <c r="A24" s="7" t="n">
        <v>9</v>
      </c>
      <c r="B24" s="8" t="inlineStr">
        <is>
          <t>Flatbed Sewing Machine</t>
        </is>
      </c>
      <c r="C24" s="9" t="n">
        <v>5</v>
      </c>
      <c r="D24" s="9" t="n"/>
      <c r="E24" s="9" t="n">
        <v>8</v>
      </c>
      <c r="F24" s="9">
        <f>IFERROR(MIN(C24,D24)*E24/C24,0)</f>
        <v/>
      </c>
      <c r="G24" s="9" t="n"/>
    </row>
    <row r="25" ht="14.15" customHeight="1">
      <c r="A25" s="7" t="n">
        <v>10</v>
      </c>
      <c r="B25" s="8" t="inlineStr">
        <is>
          <t>Post bed Sewing machine</t>
        </is>
      </c>
      <c r="C25" s="9" t="n">
        <v>5</v>
      </c>
      <c r="D25" s="9" t="n"/>
      <c r="E25" s="9" t="n">
        <v>8</v>
      </c>
      <c r="F25" s="9">
        <f>IFERROR(MIN(C25,D25)*E25/C25,0)</f>
        <v/>
      </c>
      <c r="G25" s="9" t="n"/>
    </row>
    <row r="26" ht="14.15" customHeight="1">
      <c r="A26" s="7" t="n">
        <v>11</v>
      </c>
      <c r="B26" s="8" t="inlineStr">
        <is>
          <t>Auto Sewing machine</t>
        </is>
      </c>
      <c r="C26" s="9" t="n">
        <v>2</v>
      </c>
      <c r="D26" s="9" t="n"/>
      <c r="E26" s="9" t="n">
        <v>8</v>
      </c>
      <c r="F26" s="9">
        <f>IFERROR(MIN(C26,D26)*E26/C26,0)</f>
        <v/>
      </c>
      <c r="G26" s="9" t="n"/>
    </row>
    <row r="27" ht="14.15" customHeight="1">
      <c r="A27" s="7" t="n">
        <v>12</v>
      </c>
      <c r="B27" s="8" t="inlineStr">
        <is>
          <t>Cylinder bed sewing machine</t>
        </is>
      </c>
      <c r="C27" s="9" t="n">
        <v>5</v>
      </c>
      <c r="D27" s="9" t="n"/>
      <c r="E27" s="9" t="n">
        <v>8</v>
      </c>
      <c r="F27" s="9">
        <f>IFERROR(MIN(C27,D27)*E27/C27,0)</f>
        <v/>
      </c>
      <c r="G27" s="9" t="n"/>
    </row>
    <row r="28" ht="14.15" customHeight="1">
      <c r="A28" s="7" t="n">
        <v>13</v>
      </c>
      <c r="B28" s="8" t="inlineStr">
        <is>
          <t>Buffing machine</t>
        </is>
      </c>
      <c r="C28" s="9" t="n">
        <v>1</v>
      </c>
      <c r="D28" s="9" t="n"/>
      <c r="E28" s="9" t="n">
        <v>6</v>
      </c>
      <c r="F28" s="9">
        <f>IFERROR(MIN(C28,D28)*E28/C28,0)</f>
        <v/>
      </c>
      <c r="G28" s="9" t="n"/>
    </row>
    <row r="29" ht="14.15" customHeight="1">
      <c r="A29" s="7" t="n">
        <v>14</v>
      </c>
      <c r="B29" s="8" t="inlineStr">
        <is>
          <t>Edge burnishing machine</t>
        </is>
      </c>
      <c r="C29" s="9" t="n">
        <v>1</v>
      </c>
      <c r="D29" s="9" t="n"/>
      <c r="E29" s="9" t="n">
        <v>6</v>
      </c>
      <c r="F29" s="9">
        <f>IFERROR(MIN(C29,D29)*E29/C29,0)</f>
        <v/>
      </c>
      <c r="G29" s="9" t="n"/>
    </row>
    <row r="30" ht="14.15" customHeight="1">
      <c r="A30" s="7" t="n">
        <v>15</v>
      </c>
      <c r="B30" s="8" t="inlineStr">
        <is>
          <t>Hand press machine</t>
        </is>
      </c>
      <c r="C30" s="9" t="n">
        <v>2</v>
      </c>
      <c r="D30" s="9" t="n"/>
      <c r="E30" s="9" t="n">
        <v>6</v>
      </c>
      <c r="F30" s="9">
        <f>IFERROR(MIN(C30,D30)*E30/C30,0)</f>
        <v/>
      </c>
      <c r="G30" s="9" t="n"/>
    </row>
    <row r="31" ht="14.15" customHeight="1">
      <c r="A31" s="7" t="n">
        <v>16</v>
      </c>
      <c r="B31" s="8" t="inlineStr">
        <is>
          <t>Hole punching machine</t>
        </is>
      </c>
      <c r="C31" s="9" t="n">
        <v>2</v>
      </c>
      <c r="D31" s="9" t="n"/>
      <c r="E31" s="9" t="n">
        <v>5</v>
      </c>
      <c r="F31" s="9">
        <f>IFERROR(MIN(C31,D31)*E31/C31,0)</f>
        <v/>
      </c>
      <c r="G31" s="9" t="n"/>
    </row>
    <row r="32" ht="14.15" customHeight="1">
      <c r="A32" s="7" t="n">
        <v>17</v>
      </c>
      <c r="B32" s="8" t="inlineStr">
        <is>
          <t>Rivet setting machine</t>
        </is>
      </c>
      <c r="C32" s="9" t="n">
        <v>1</v>
      </c>
      <c r="D32" s="9" t="n"/>
      <c r="E32" s="9" t="n">
        <v>5</v>
      </c>
      <c r="F32" s="9">
        <f>IFERROR(MIN(C32,D32)*E32/C32,0)</f>
        <v/>
      </c>
      <c r="G32" s="9" t="n"/>
    </row>
    <row r="33" ht="14.15" customHeight="1">
      <c r="A33" s="7" t="n">
        <v>18</v>
      </c>
      <c r="B33" s="8" t="inlineStr">
        <is>
          <t>Eyelet press machine</t>
        </is>
      </c>
      <c r="C33" s="9" t="n">
        <v>1</v>
      </c>
      <c r="D33" s="9" t="n"/>
      <c r="E33" s="9" t="n">
        <v>5</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Footwear and Leather Goods Design and Development with CAD CAM</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Footwear and Leather Goods Design and Development with CAD CAM</t>
        </is>
      </c>
      <c r="C8" s="4" t="inlineStr">
        <is>
          <t>Classroom – 350 sft (33 sqm)
Workshop/ lab – 800 sft (75 sqm)
OR
Classroom cum workshop – 1000 sft (93 sqm)</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Footwear and Leather Goods Design and Development with CAD CAM,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c r="E16" s="9" t="n">
        <v>5</v>
      </c>
      <c r="F16" s="9">
        <f>IFERROR(MIN(C16,D16)*E16/C16,0)</f>
        <v/>
      </c>
      <c r="G16" s="9" t="n"/>
    </row>
    <row r="17" ht="14.15" customHeight="1">
      <c r="A17" s="7" t="n">
        <v>2</v>
      </c>
      <c r="B17" s="8" t="inlineStr">
        <is>
          <t>Multimedia Projector</t>
        </is>
      </c>
      <c r="C17" s="9" t="n">
        <v>1</v>
      </c>
      <c r="D17" s="9" t="n"/>
      <c r="E17" s="9" t="n">
        <v>5</v>
      </c>
      <c r="F17" s="9">
        <f>IFERROR(MIN(C17,D17)*E17/C17,0)</f>
        <v/>
      </c>
      <c r="G17" s="9" t="n"/>
    </row>
    <row r="18" ht="14.15" customHeight="1">
      <c r="A18" s="7" t="n">
        <v>3</v>
      </c>
      <c r="B18" s="8" t="inlineStr">
        <is>
          <t>Internet connectivity</t>
        </is>
      </c>
      <c r="C18" s="9" t="n">
        <v>1</v>
      </c>
      <c r="D18" s="9" t="n"/>
      <c r="E18" s="9" t="n">
        <v>5</v>
      </c>
      <c r="F18" s="9">
        <f>IFERROR(MIN(C18,D18)*E18/C18,0)</f>
        <v/>
      </c>
      <c r="G18" s="9" t="n"/>
    </row>
    <row r="19" ht="14.15" customHeight="1">
      <c r="A19" s="7" t="n">
        <v>4</v>
      </c>
      <c r="B19" s="8" t="inlineStr">
        <is>
          <t>Printer</t>
        </is>
      </c>
      <c r="C19" s="9" t="n">
        <v>1</v>
      </c>
      <c r="D19" s="9" t="n"/>
      <c r="E19" s="9" t="n">
        <v>5</v>
      </c>
      <c r="F19" s="9">
        <f>IFERROR(MIN(C19,D19)*E19/C19,0)</f>
        <v/>
      </c>
      <c r="G19" s="9" t="n"/>
    </row>
    <row r="20" ht="14.15" customHeight="1">
      <c r="A20" s="7" t="n">
        <v>5</v>
      </c>
      <c r="B20" s="8" t="inlineStr">
        <is>
          <t>White board with marker</t>
        </is>
      </c>
      <c r="C20" s="9" t="n">
        <v>1</v>
      </c>
      <c r="D20" s="9" t="n"/>
      <c r="E20" s="9" t="n">
        <v>3</v>
      </c>
      <c r="F20" s="9">
        <f>IFERROR(MIN(C20,D20)*E20/C20,0)</f>
        <v/>
      </c>
      <c r="G20" s="9" t="n"/>
    </row>
    <row r="21" ht="14.15" customHeight="1">
      <c r="A21" s="7" t="n">
        <v>6</v>
      </c>
      <c r="B21" s="8" t="inlineStr">
        <is>
          <t>Last</t>
        </is>
      </c>
      <c r="C21" s="9" t="n">
        <v>25</v>
      </c>
      <c r="D21" s="9" t="n"/>
      <c r="E21" s="9" t="n">
        <v>7</v>
      </c>
      <c r="F21" s="9">
        <f>IFERROR(MIN(C21,D21)*E21/C21,0)</f>
        <v/>
      </c>
      <c r="G21" s="9" t="n"/>
    </row>
    <row r="22" ht="14.15" customHeight="1">
      <c r="A22" s="7" t="n">
        <v>7</v>
      </c>
      <c r="B22" s="8" t="inlineStr">
        <is>
          <t>Cutting matt</t>
        </is>
      </c>
      <c r="C22" s="9" t="n">
        <v>25</v>
      </c>
      <c r="D22" s="9" t="n"/>
      <c r="E22" s="9" t="n">
        <v>4</v>
      </c>
      <c r="F22" s="9">
        <f>IFERROR(MIN(C22,D22)*E22/C22,0)</f>
        <v/>
      </c>
      <c r="G22" s="9" t="n"/>
    </row>
    <row r="23" ht="14.15" customHeight="1">
      <c r="A23" s="7" t="n">
        <v>8</v>
      </c>
      <c r="B23" s="8" t="inlineStr">
        <is>
          <t>Pattern paper</t>
        </is>
      </c>
      <c r="C23" s="9" t="n">
        <v>100</v>
      </c>
      <c r="D23" s="9" t="n"/>
      <c r="E23" s="9" t="n">
        <v>3</v>
      </c>
      <c r="F23" s="9">
        <f>IFERROR(MIN(C23,D23)*E23/C23,0)</f>
        <v/>
      </c>
      <c r="G23" s="9" t="n"/>
    </row>
    <row r="24" ht="14.15" customHeight="1">
      <c r="A24" s="7" t="n">
        <v>9</v>
      </c>
      <c r="B24" s="8" t="inlineStr">
        <is>
          <t>Scissor</t>
        </is>
      </c>
      <c r="C24" s="9" t="n">
        <v>25</v>
      </c>
      <c r="D24" s="9" t="n"/>
      <c r="E24" s="9" t="n">
        <v>4</v>
      </c>
      <c r="F24" s="9">
        <f>IFERROR(MIN(C24,D24)*E24/C24,0)</f>
        <v/>
      </c>
      <c r="G24" s="9" t="n"/>
    </row>
    <row r="25" ht="14.15" customHeight="1">
      <c r="A25" s="7" t="n">
        <v>10</v>
      </c>
      <c r="B25" s="8" t="inlineStr">
        <is>
          <t>Computer/laptop with Shoe Master or I-CAD software or Fast shoe or Crispin or Romans CAD</t>
        </is>
      </c>
      <c r="C25" s="9" t="n">
        <v>6</v>
      </c>
      <c r="D25" s="9" t="n"/>
      <c r="E25" s="9" t="n">
        <v>10</v>
      </c>
      <c r="F25" s="9">
        <f>IFERROR(MIN(C25,D25)*E25/C25,0)</f>
        <v/>
      </c>
      <c r="G25" s="9" t="n"/>
    </row>
    <row r="26" ht="14.15" customHeight="1">
      <c r="A26" s="7" t="n">
        <v>11</v>
      </c>
      <c r="B26" s="8" t="inlineStr">
        <is>
          <t>Plotter Machine</t>
        </is>
      </c>
      <c r="C26" s="9" t="n">
        <v>1</v>
      </c>
      <c r="D26" s="9" t="n"/>
      <c r="E26" s="9" t="n">
        <v>7</v>
      </c>
      <c r="F26" s="9">
        <f>IFERROR(MIN(C26,D26)*E26/C26,0)</f>
        <v/>
      </c>
      <c r="G26" s="9" t="n"/>
    </row>
    <row r="27" ht="14.15" customHeight="1">
      <c r="A27" s="7" t="n">
        <v>12</v>
      </c>
      <c r="B27" s="8" t="inlineStr">
        <is>
          <t>3D last scanner</t>
        </is>
      </c>
      <c r="C27" s="9" t="n">
        <v>1</v>
      </c>
      <c r="D27" s="9" t="n"/>
      <c r="E27" s="9" t="n">
        <v>9</v>
      </c>
      <c r="F27" s="9">
        <f>IFERROR(MIN(C27,D27)*E27/C27,0)</f>
        <v/>
      </c>
      <c r="G27" s="9" t="n"/>
    </row>
    <row r="28" ht="14.15" customHeight="1">
      <c r="A28" s="7" t="n">
        <v>13</v>
      </c>
      <c r="B28" s="8" t="inlineStr">
        <is>
          <t>Digitizer</t>
        </is>
      </c>
      <c r="C28" s="9" t="n">
        <v>1</v>
      </c>
      <c r="D28" s="9" t="n"/>
      <c r="E28" s="9" t="n">
        <v>8</v>
      </c>
      <c r="F28" s="9">
        <f>IFERROR(MIN(C28,D28)*E28/C28,0)</f>
        <v/>
      </c>
      <c r="G28" s="9" t="n"/>
    </row>
    <row r="29" ht="14.15" customHeight="1">
      <c r="A29" s="7" t="n">
        <v>14</v>
      </c>
      <c r="B29" s="8" t="inlineStr">
        <is>
          <t>Masking tape</t>
        </is>
      </c>
      <c r="C29" s="9" t="n">
        <v>25</v>
      </c>
      <c r="D29" s="9" t="n"/>
      <c r="E29" s="9" t="n">
        <v>3</v>
      </c>
      <c r="F29" s="9">
        <f>IFERROR(MIN(C29,D29)*E29/C29,0)</f>
        <v/>
      </c>
      <c r="G29" s="9" t="n"/>
    </row>
    <row r="30" ht="14.15" customHeight="1">
      <c r="A30" s="7" t="n">
        <v>15</v>
      </c>
      <c r="B30" s="8" t="inlineStr">
        <is>
          <t>Anti-cutter</t>
        </is>
      </c>
      <c r="C30" s="9" t="n">
        <v>25</v>
      </c>
      <c r="D30" s="9" t="n"/>
      <c r="E30" s="9" t="n">
        <v>4</v>
      </c>
      <c r="F30" s="9">
        <f>IFERROR(MIN(C30,D30)*E30/C30,0)</f>
        <v/>
      </c>
      <c r="G30" s="9" t="n"/>
    </row>
    <row r="31" ht="14.15" customHeight="1">
      <c r="A31" s="7" t="n">
        <v>16</v>
      </c>
      <c r="B31" s="8" t="inlineStr">
        <is>
          <t>Stationary set (Pencil, scale, eraser, sharpener)</t>
        </is>
      </c>
      <c r="C31" s="9" t="n">
        <v>25</v>
      </c>
      <c r="D31" s="9" t="n"/>
      <c r="E31" s="9" t="n">
        <v>3</v>
      </c>
      <c r="F31" s="9">
        <f>IFERROR(MIN(C31,D31)*E31/C31,0)</f>
        <v/>
      </c>
      <c r="G31" s="9" t="n"/>
    </row>
    <row r="32" ht="14.15" customHeight="1">
      <c r="A32" s="7" t="n">
        <v>17</v>
      </c>
      <c r="B32" s="8" t="inlineStr">
        <is>
          <t>Measuring tape</t>
        </is>
      </c>
      <c r="C32" s="9" t="n">
        <v>25</v>
      </c>
      <c r="D32" s="9" t="n"/>
      <c r="E32" s="9" t="n">
        <v>4</v>
      </c>
      <c r="F32" s="9">
        <f>IFERROR(MIN(C32,D32)*E32/C32,0)</f>
        <v/>
      </c>
      <c r="G32" s="9" t="n"/>
    </row>
    <row r="33" ht="14.15" customHeight="1">
      <c r="A33" s="7" t="n">
        <v>18</v>
      </c>
      <c r="B33" s="8" t="inlineStr">
        <is>
          <t>Divider</t>
        </is>
      </c>
      <c r="C33" s="9" t="n">
        <v>25</v>
      </c>
      <c r="D33" s="9" t="n"/>
      <c r="E33" s="9" t="n">
        <v>4</v>
      </c>
      <c r="F33" s="9">
        <f>IFERROR(MIN(C33,D33)*E33/C33,0)</f>
        <v/>
      </c>
      <c r="G33" s="9" t="n"/>
    </row>
    <row r="34" ht="14.15" customHeight="1">
      <c r="A34" s="7" t="n">
        <v>19</v>
      </c>
      <c r="B34" s="8" t="inlineStr">
        <is>
          <t>Pinner/Awl</t>
        </is>
      </c>
      <c r="C34" s="9" t="n">
        <v>25</v>
      </c>
      <c r="D34" s="9" t="n"/>
      <c r="E34" s="9" t="n">
        <v>4</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Compliance &amp; Sustainability for Footwear &amp; Leather Goods Sector</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row>
    <row r="8" ht="52.2" customHeight="1">
      <c r="B8" s="2" t="inlineStr">
        <is>
          <t>Compliance &amp; Sustainability for Footwear &amp; Leather Goods Sector</t>
        </is>
      </c>
      <c r="C8" s="4" t="inlineStr">
        <is>
          <t>Classroom – 350 sft (33 sqm)
Workshop/ lab – 800 sft (75 sqm) OR
Classroom cum workshop – 1000 sft (93 sqm)</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Compliance &amp; Sustainability for Footwear &amp; Leather Goods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Scanner</t>
        </is>
      </c>
      <c r="C18" s="9" t="n">
        <v>1</v>
      </c>
      <c r="D18" s="9" t="n"/>
      <c r="E18" s="9" t="n">
        <v>5</v>
      </c>
      <c r="F18" s="9">
        <f>IFERROR(MIN(C18,D18)*E18/C18,0)</f>
        <v/>
      </c>
      <c r="G18" s="9" t="n"/>
    </row>
    <row r="19" ht="14.15" customHeight="1">
      <c r="A19" s="7" t="n">
        <v>4</v>
      </c>
      <c r="B19" s="8" t="inlineStr">
        <is>
          <t>Printer</t>
        </is>
      </c>
      <c r="C19" s="9" t="n">
        <v>1</v>
      </c>
      <c r="D19" s="9" t="n"/>
      <c r="E19" s="9" t="n">
        <v>5</v>
      </c>
      <c r="F19" s="9">
        <f>IFERROR(MIN(C19,D19)*E19/C19,0)</f>
        <v/>
      </c>
      <c r="G19" s="9" t="n"/>
    </row>
    <row r="20" ht="14.15" customHeight="1">
      <c r="A20" s="7" t="n">
        <v>5</v>
      </c>
      <c r="B20" s="8" t="inlineStr">
        <is>
          <t>First aid box</t>
        </is>
      </c>
      <c r="C20" s="9" t="n">
        <v>3</v>
      </c>
      <c r="D20" s="9" t="n"/>
      <c r="E20" s="9" t="n">
        <v>4</v>
      </c>
      <c r="F20" s="9">
        <f>IFERROR(MIN(C20,D20)*E20/C20,0)</f>
        <v/>
      </c>
      <c r="G20" s="9" t="n"/>
    </row>
    <row r="21" ht="14.15" customHeight="1">
      <c r="A21" s="7" t="n">
        <v>6</v>
      </c>
      <c r="B21" s="8" t="inlineStr">
        <is>
          <t>Lux meter</t>
        </is>
      </c>
      <c r="C21" s="9" t="n">
        <v>3</v>
      </c>
      <c r="D21" s="9" t="n"/>
      <c r="E21" s="9" t="n">
        <v>7</v>
      </c>
      <c r="F21" s="9">
        <f>IFERROR(MIN(C21,D21)*E21/C21,0)</f>
        <v/>
      </c>
      <c r="G21" s="9" t="n"/>
    </row>
    <row r="22" ht="14.15" customHeight="1">
      <c r="A22" s="7" t="n">
        <v>7</v>
      </c>
      <c r="B22" s="8" t="inlineStr">
        <is>
          <t>Noise level meter</t>
        </is>
      </c>
      <c r="C22" s="9" t="n">
        <v>3</v>
      </c>
      <c r="D22" s="9" t="n"/>
      <c r="E22" s="9" t="n">
        <v>7</v>
      </c>
      <c r="F22" s="9">
        <f>IFERROR(MIN(C22,D22)*E22/C22,0)</f>
        <v/>
      </c>
      <c r="G22" s="9" t="n"/>
    </row>
    <row r="23" ht="14.15" customHeight="1">
      <c r="A23" s="7" t="n">
        <v>8</v>
      </c>
      <c r="B23" s="8" t="inlineStr">
        <is>
          <t>Fire extinguisher (water, foam, CO2, powder)</t>
        </is>
      </c>
      <c r="C23" s="9" t="n">
        <v>8</v>
      </c>
      <c r="D23" s="9" t="n"/>
      <c r="E23" s="9" t="n">
        <v>6</v>
      </c>
      <c r="F23" s="9">
        <f>IFERROR(MIN(C23,D23)*E23/C23,0)</f>
        <v/>
      </c>
      <c r="G23" s="9" t="n"/>
    </row>
    <row r="24" ht="14.15" customHeight="1">
      <c r="A24" s="7" t="n">
        <v>9</v>
      </c>
      <c r="B24" s="8" t="inlineStr">
        <is>
          <t>Smoke or heat detector</t>
        </is>
      </c>
      <c r="C24" s="9" t="n">
        <v>5</v>
      </c>
      <c r="D24" s="9" t="n"/>
      <c r="E24" s="9" t="n">
        <v>6</v>
      </c>
      <c r="F24" s="9">
        <f>IFERROR(MIN(C24,D24)*E24/C24,0)</f>
        <v/>
      </c>
      <c r="G24" s="9" t="n"/>
    </row>
    <row r="25" ht="14.15" customHeight="1">
      <c r="A25" s="7" t="n">
        <v>10</v>
      </c>
      <c r="B25" s="8" t="inlineStr">
        <is>
          <t>Rubbermaid recycling bins</t>
        </is>
      </c>
      <c r="C25" s="9" t="n">
        <v>5</v>
      </c>
      <c r="D25" s="9" t="n"/>
      <c r="E25" s="9" t="n">
        <v>4</v>
      </c>
      <c r="F25" s="9">
        <f>IFERROR(MIN(C25,D25)*E25/C25,0)</f>
        <v/>
      </c>
      <c r="G25" s="9" t="n"/>
    </row>
    <row r="26" ht="14.15" customHeight="1">
      <c r="A26" s="7" t="n">
        <v>11</v>
      </c>
      <c r="B26" s="8" t="inlineStr">
        <is>
          <t>Water testing kits</t>
        </is>
      </c>
      <c r="C26" s="9" t="n">
        <v>3</v>
      </c>
      <c r="D26" s="9" t="n"/>
      <c r="E26" s="9" t="n">
        <v>7</v>
      </c>
      <c r="F26" s="9">
        <f>IFERROR(MIN(C26,D26)*E26/C26,0)</f>
        <v/>
      </c>
      <c r="G26" s="9" t="n"/>
    </row>
    <row r="27" ht="14.15" customHeight="1">
      <c r="A27" s="7" t="n">
        <v>12</v>
      </c>
      <c r="B27" s="8" t="inlineStr">
        <is>
          <t>Air quality testing kits</t>
        </is>
      </c>
      <c r="C27" s="9" t="n">
        <v>3</v>
      </c>
      <c r="D27" s="9" t="n"/>
      <c r="E27" s="9" t="n">
        <v>7</v>
      </c>
      <c r="F27" s="9">
        <f>IFERROR(MIN(C27,D27)*E27/C27,0)</f>
        <v/>
      </c>
      <c r="G27" s="9" t="n"/>
    </row>
    <row r="28">
      <c r="A28" s="10" t="inlineStr">
        <is>
          <t>Sum</t>
        </is>
      </c>
      <c r="B28" s="11" t="n"/>
      <c r="C28" s="11" t="n"/>
      <c r="D28" s="12" t="n"/>
      <c r="E28" s="10">
        <f>SUM(E16:E27)</f>
        <v/>
      </c>
      <c r="F28" s="10">
        <f>SUM(F16:F27)</f>
        <v/>
      </c>
      <c r="G28" s="13" t="n"/>
    </row>
    <row r="29">
      <c r="A29" s="10" t="inlineStr">
        <is>
          <t>Score out of 100</t>
        </is>
      </c>
      <c r="B29" s="11" t="n"/>
      <c r="C29" s="11" t="n"/>
      <c r="D29" s="11" t="n"/>
      <c r="E29" s="12" t="n"/>
      <c r="F29" s="10">
        <f>F28/E28*100</f>
        <v/>
      </c>
      <c r="G29" s="13" t="n"/>
    </row>
    <row r="30" ht="9.75" customHeight="1"/>
    <row r="31">
      <c r="A31" s="10" t="inlineStr">
        <is>
          <t xml:space="preserve">Total achieved points out of 30  </t>
        </is>
      </c>
      <c r="B31" s="11" t="n"/>
      <c r="C31" s="11" t="n"/>
      <c r="D31" s="11" t="n"/>
      <c r="E31" s="12" t="n"/>
      <c r="F31" s="10">
        <f>F29*30/100</f>
        <v/>
      </c>
      <c r="G31" s="10" t="inlineStr">
        <is>
          <t>Points</t>
        </is>
      </c>
    </row>
  </sheetData>
  <mergeCells count="8">
    <mergeCell ref="A13:G13"/>
    <mergeCell ref="C7:G7"/>
    <mergeCell ref="A29:E29"/>
    <mergeCell ref="A1:G1"/>
    <mergeCell ref="A28:D28"/>
    <mergeCell ref="A30:G30"/>
    <mergeCell ref="A31:E31"/>
    <mergeCell ref="C8:G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Productivity Improvement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Industrial Productivity Improvement</t>
        </is>
      </c>
      <c r="C8" s="4" t="inlineStr">
        <is>
          <t>Classroom – 350 sft (33 sqm)
Workshop/ lab – 800 sft (75 sqm) OR
Classroom cum workshop – 1000 sft (93 sqm)</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Productivity Improvement,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Scanner</t>
        </is>
      </c>
      <c r="C18" s="9" t="n">
        <v>1</v>
      </c>
      <c r="D18" s="9" t="n"/>
      <c r="E18" s="9" t="n">
        <v>5</v>
      </c>
      <c r="F18" s="9">
        <f>IFERROR(MIN(C18,D18)*E18/C18,0)</f>
        <v/>
      </c>
      <c r="G18" s="9" t="n"/>
    </row>
    <row r="19" ht="14.15" customHeight="1">
      <c r="A19" s="7" t="n">
        <v>4</v>
      </c>
      <c r="B19" s="8" t="inlineStr">
        <is>
          <t>Printer</t>
        </is>
      </c>
      <c r="C19" s="9" t="n">
        <v>1</v>
      </c>
      <c r="D19" s="9" t="n"/>
      <c r="E19" s="9" t="n">
        <v>5</v>
      </c>
      <c r="F19" s="9">
        <f>IFERROR(MIN(C19,D19)*E19/C19,0)</f>
        <v/>
      </c>
      <c r="G19" s="9" t="n"/>
    </row>
    <row r="20" ht="14.15" customHeight="1">
      <c r="A20" s="7" t="n">
        <v>5</v>
      </c>
      <c r="B20" s="8" t="inlineStr">
        <is>
          <t>Stopwatch</t>
        </is>
      </c>
      <c r="C20" s="9" t="n">
        <v>1</v>
      </c>
      <c r="D20" s="9" t="n"/>
      <c r="E20" s="9" t="n">
        <v>6</v>
      </c>
      <c r="F20" s="9">
        <f>IFERROR(MIN(C20,D20)*E20/C20,0)</f>
        <v/>
      </c>
      <c r="G20" s="9" t="n"/>
    </row>
    <row r="21" ht="14.15" customHeight="1">
      <c r="A21" s="7" t="n">
        <v>6</v>
      </c>
      <c r="B21" s="8" t="inlineStr">
        <is>
          <t>Time study timer</t>
        </is>
      </c>
      <c r="C21" s="9" t="n">
        <v>5</v>
      </c>
      <c r="D21" s="9" t="n"/>
      <c r="E21" s="9" t="n">
        <v>6</v>
      </c>
      <c r="F21" s="9">
        <f>IFERROR(MIN(C21,D21)*E21/C21,0)</f>
        <v/>
      </c>
      <c r="G21" s="9" t="n"/>
    </row>
    <row r="22" ht="14.15" customHeight="1">
      <c r="A22" s="7" t="n">
        <v>7</v>
      </c>
      <c r="B22" s="8" t="inlineStr">
        <is>
          <t>Measuring tape</t>
        </is>
      </c>
      <c r="C22" s="9" t="n">
        <v>20</v>
      </c>
      <c r="D22" s="9" t="n"/>
      <c r="E22" s="9" t="n">
        <v>4</v>
      </c>
      <c r="F22" s="9">
        <f>IFERROR(MIN(C22,D22)*E22/C22,0)</f>
        <v/>
      </c>
      <c r="G22" s="9" t="n"/>
    </row>
    <row r="23" ht="14.15" customHeight="1">
      <c r="A23" s="7" t="n">
        <v>8</v>
      </c>
      <c r="B23" s="8" t="inlineStr">
        <is>
          <t>Line layout model</t>
        </is>
      </c>
      <c r="C23" s="9" t="n">
        <v>5</v>
      </c>
      <c r="D23" s="9" t="n"/>
      <c r="E23" s="9" t="n">
        <v>6</v>
      </c>
      <c r="F23" s="9">
        <f>IFERROR(MIN(C23,D23)*E23/C23,0)</f>
        <v/>
      </c>
      <c r="G23" s="9" t="n"/>
    </row>
    <row r="24" ht="14.15" customHeight="1">
      <c r="A24" s="7" t="n">
        <v>9</v>
      </c>
      <c r="B24" s="8" t="inlineStr">
        <is>
          <t>Work study table</t>
        </is>
      </c>
      <c r="C24" s="9" t="n">
        <v>2</v>
      </c>
      <c r="D24" s="9" t="n"/>
      <c r="E24" s="9" t="n">
        <v>5</v>
      </c>
      <c r="F24" s="9">
        <f>IFERROR(MIN(C24,D24)*E24/C24,0)</f>
        <v/>
      </c>
      <c r="G24" s="9" t="n"/>
    </row>
    <row r="25" ht="14.15" customHeight="1">
      <c r="A25" s="7" t="n">
        <v>10</v>
      </c>
      <c r="B25" s="8" t="inlineStr">
        <is>
          <t>Calculator</t>
        </is>
      </c>
      <c r="C25" s="9" t="n">
        <v>10</v>
      </c>
      <c r="D25" s="9" t="n"/>
      <c r="E25" s="9" t="n">
        <v>3</v>
      </c>
      <c r="F25" s="9">
        <f>IFERROR(MIN(C25,D25)*E25/C25,0)</f>
        <v/>
      </c>
      <c r="G25" s="9" t="n"/>
    </row>
    <row r="26" ht="14.15" customHeight="1">
      <c r="A26" s="7" t="n">
        <v>11</v>
      </c>
      <c r="B26" s="8" t="inlineStr">
        <is>
          <t>Kaizen Boards</t>
        </is>
      </c>
      <c r="C26" s="9" t="n">
        <v>2</v>
      </c>
      <c r="D26" s="9" t="n"/>
      <c r="E26" s="9" t="n">
        <v>5</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Supervisory Management &amp; Leadership Skills Development</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row>
    <row r="8" ht="52.2" customHeight="1">
      <c r="B8" s="2" t="inlineStr">
        <is>
          <t>Supervisory Management &amp; Leadership Skills Development</t>
        </is>
      </c>
      <c r="C8" s="4" t="inlineStr">
        <is>
          <t>Classroom – 350 sft (33 sqm)
Workshop/ lab – 800 sft (75 sqm) OR
Classroom cum workshop – 1000 sft (93 sqm)</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Supervisory Management &amp; Leadership Skills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Scanner</t>
        </is>
      </c>
      <c r="C18" s="9" t="n">
        <v>1</v>
      </c>
      <c r="D18" s="9" t="n"/>
      <c r="E18" s="9" t="n">
        <v>5</v>
      </c>
      <c r="F18" s="9">
        <f>IFERROR(MIN(C18,D18)*E18/C18,0)</f>
        <v/>
      </c>
      <c r="G18" s="9" t="n"/>
    </row>
    <row r="19" ht="14.15" customHeight="1">
      <c r="A19" s="7" t="n">
        <v>4</v>
      </c>
      <c r="B19" s="8" t="inlineStr">
        <is>
          <t>Printer</t>
        </is>
      </c>
      <c r="C19" s="9" t="n">
        <v>1</v>
      </c>
      <c r="D19" s="9" t="n"/>
      <c r="E19" s="9" t="n">
        <v>5</v>
      </c>
      <c r="F19" s="9">
        <f>IFERROR(MIN(C19,D19)*E19/C19,0)</f>
        <v/>
      </c>
      <c r="G19" s="9" t="n"/>
    </row>
    <row r="20" ht="14.15" customHeight="1">
      <c r="A20" s="7" t="n">
        <v>5</v>
      </c>
      <c r="B20" s="8" t="inlineStr">
        <is>
          <t>Flip Charts</t>
        </is>
      </c>
      <c r="C20" s="9" t="n">
        <v>1</v>
      </c>
      <c r="D20" s="9" t="n"/>
      <c r="E20" s="9" t="n">
        <v>3</v>
      </c>
      <c r="F20" s="9">
        <f>IFERROR(MIN(C20,D20)*E20/C20,0)</f>
        <v/>
      </c>
      <c r="G20" s="9" t="n"/>
    </row>
    <row r="21" ht="14.15" customHeight="1">
      <c r="A21" s="7" t="n">
        <v>6</v>
      </c>
      <c r="B21" s="8" t="inlineStr">
        <is>
          <t>PA System / Microphone</t>
        </is>
      </c>
      <c r="C21" s="9" t="n">
        <v>1</v>
      </c>
      <c r="D21" s="9" t="n"/>
      <c r="E21" s="9" t="n">
        <v>4</v>
      </c>
      <c r="F21" s="9">
        <f>IFERROR(MIN(C21,D21)*E21/C21,0)</f>
        <v/>
      </c>
      <c r="G21" s="9" t="n"/>
    </row>
    <row r="22" ht="14.15" customHeight="1">
      <c r="A22" s="7" t="n">
        <v>7</v>
      </c>
      <c r="B22" s="8" t="inlineStr">
        <is>
          <t>Leather Goods/Footwear Samples (with defective product)</t>
        </is>
      </c>
      <c r="C22" s="9" t="n">
        <v>25</v>
      </c>
      <c r="D22" s="9" t="n"/>
      <c r="E22" s="9" t="n">
        <v>6</v>
      </c>
      <c r="F22" s="9">
        <f>IFERROR(MIN(C22,D22)*E22/C22,0)</f>
        <v/>
      </c>
      <c r="G22" s="9" t="n"/>
    </row>
    <row r="23" ht="14.15" customHeight="1">
      <c r="A23" s="7" t="n">
        <v>8</v>
      </c>
      <c r="B23" s="8" t="inlineStr">
        <is>
          <t>Simulated/actual production floor (Cutting, sewing, lasting and assembling)</t>
        </is>
      </c>
      <c r="C23" s="9" t="n">
        <v>1</v>
      </c>
      <c r="D23" s="9" t="n"/>
      <c r="E23" s="9" t="n">
        <v>8</v>
      </c>
      <c r="F23" s="9">
        <f>IFERROR(MIN(C23,D23)*E23/C23,0)</f>
        <v/>
      </c>
      <c r="G23" s="9" t="n"/>
    </row>
    <row r="24" ht="14.15" customHeight="1">
      <c r="A24" s="7" t="n">
        <v>9</v>
      </c>
      <c r="B24" s="8" t="inlineStr">
        <is>
          <t>Performance Management / Leadership Simulation Software</t>
        </is>
      </c>
      <c r="C24" s="9" t="n">
        <v>1</v>
      </c>
      <c r="D24" s="9" t="n"/>
      <c r="E24" s="9" t="n">
        <v>7</v>
      </c>
      <c r="F24" s="9">
        <f>IFERROR(MIN(C24,D24)*E24/C24,0)</f>
        <v/>
      </c>
      <c r="G24" s="9" t="n"/>
    </row>
    <row r="25">
      <c r="A25" s="10" t="inlineStr">
        <is>
          <t>Sum</t>
        </is>
      </c>
      <c r="B25" s="11" t="n"/>
      <c r="C25" s="11" t="n"/>
      <c r="D25" s="12" t="n"/>
      <c r="E25" s="10">
        <f>SUM(E16:E24)</f>
        <v/>
      </c>
      <c r="F25" s="10">
        <f>SUM(F16:F24)</f>
        <v/>
      </c>
      <c r="G25" s="13" t="n"/>
    </row>
    <row r="26">
      <c r="A26" s="10" t="inlineStr">
        <is>
          <t>Score out of 100</t>
        </is>
      </c>
      <c r="B26" s="11" t="n"/>
      <c r="C26" s="11" t="n"/>
      <c r="D26" s="11" t="n"/>
      <c r="E26" s="12" t="n"/>
      <c r="F26" s="10">
        <f>F25/E25*100</f>
        <v/>
      </c>
      <c r="G26" s="13" t="n"/>
    </row>
    <row r="27" ht="9.75" customHeight="1"/>
    <row r="28">
      <c r="A28" s="10" t="inlineStr">
        <is>
          <t xml:space="preserve">Total achieved points out of 30  </t>
        </is>
      </c>
      <c r="B28" s="11" t="n"/>
      <c r="C28" s="11" t="n"/>
      <c r="D28" s="11" t="n"/>
      <c r="E28" s="12" t="n"/>
      <c r="F28" s="10">
        <f>F26*30/100</f>
        <v/>
      </c>
      <c r="G28" s="10"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Supply Chain Management for Footwear and Leather Goods Sector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Supply Chain Management for Footwear and Leather Goods Sector</t>
        </is>
      </c>
      <c r="C8" s="4" t="inlineStr">
        <is>
          <t>Classroom – 350 sft (33 sqm)
Workshop/ lab – 800 sft (75 sqm)
OR
Classroom cum workshop – 1000 sft (93 sqm)</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Supply Chain Management for Footwear and Leather Goods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Scanner</t>
        </is>
      </c>
      <c r="C18" s="9" t="n">
        <v>1</v>
      </c>
      <c r="D18" s="9" t="n"/>
      <c r="E18" s="9" t="n">
        <v>5</v>
      </c>
      <c r="F18" s="9">
        <f>IFERROR(MIN(C18,D18)*E18/C18,0)</f>
        <v/>
      </c>
      <c r="G18" s="9" t="n"/>
    </row>
    <row r="19" ht="14.15" customHeight="1">
      <c r="A19" s="7" t="n">
        <v>4</v>
      </c>
      <c r="B19" s="8" t="inlineStr">
        <is>
          <t>Printer</t>
        </is>
      </c>
      <c r="C19" s="9" t="n">
        <v>1</v>
      </c>
      <c r="D19" s="9" t="n"/>
      <c r="E19" s="9" t="n">
        <v>5</v>
      </c>
      <c r="F19" s="9">
        <f>IFERROR(MIN(C19,D19)*E19/C19,0)</f>
        <v/>
      </c>
      <c r="G19" s="9" t="n"/>
    </row>
    <row r="20" ht="14.15" customHeight="1">
      <c r="A20" s="7" t="n">
        <v>5</v>
      </c>
      <c r="B20" s="8" t="inlineStr">
        <is>
          <t>Computer/laptop with planning software (focusing on order management)</t>
        </is>
      </c>
      <c r="C20" s="9" t="n">
        <v>5</v>
      </c>
      <c r="D20" s="9" t="n"/>
      <c r="E20" s="9" t="n">
        <v>8</v>
      </c>
      <c r="F20" s="9">
        <f>IFERROR(MIN(C20,D20)*E20/C20,0)</f>
        <v/>
      </c>
      <c r="G20" s="9" t="n"/>
    </row>
    <row r="21" ht="14.15" customHeight="1">
      <c r="A21" s="7" t="n">
        <v>6</v>
      </c>
      <c r="B21" s="8" t="inlineStr">
        <is>
          <t>Material Swatches and Trims</t>
        </is>
      </c>
      <c r="C21" s="9" t="n"/>
      <c r="D21" s="9" t="n"/>
      <c r="E21" s="9" t="n">
        <v>5</v>
      </c>
      <c r="F21" s="9">
        <f>IFERROR(MIN(C21,D21)*E21/C21,0)</f>
        <v/>
      </c>
      <c r="G21" s="9" t="inlineStr">
        <is>
          <t>As required</t>
        </is>
      </c>
    </row>
    <row r="22" ht="14.15" customHeight="1">
      <c r="A22" s="7" t="n">
        <v>7</v>
      </c>
      <c r="B22" s="8" t="inlineStr">
        <is>
          <t>Display board for footwear</t>
        </is>
      </c>
      <c r="C22" s="9" t="n">
        <v>5</v>
      </c>
      <c r="D22" s="9" t="n"/>
      <c r="E22" s="9" t="n">
        <v>5</v>
      </c>
      <c r="F22" s="9">
        <f>IFERROR(MIN(C22,D22)*E22/C22,0)</f>
        <v/>
      </c>
      <c r="G22" s="9" t="inlineStr">
        <is>
          <t>05 set</t>
        </is>
      </c>
    </row>
    <row r="23" ht="14.15" customHeight="1">
      <c r="A23" s="7" t="n">
        <v>8</v>
      </c>
      <c r="B23" s="8" t="inlineStr">
        <is>
          <t>Leather goods and Footwear sample</t>
        </is>
      </c>
      <c r="C23" s="9" t="n">
        <v>10</v>
      </c>
      <c r="D23" s="9" t="n"/>
      <c r="E23" s="9" t="n">
        <v>6</v>
      </c>
      <c r="F23" s="9">
        <f>IFERROR(MIN(C23,D23)*E23/C23,0)</f>
        <v/>
      </c>
      <c r="G23" s="9" t="n"/>
    </row>
    <row r="24" ht="14.15" customHeight="1">
      <c r="A24" s="7" t="n">
        <v>9</v>
      </c>
      <c r="B24" s="8" t="inlineStr">
        <is>
          <t>Shoe last</t>
        </is>
      </c>
      <c r="C24" s="9" t="n">
        <v>5</v>
      </c>
      <c r="D24" s="9" t="n"/>
      <c r="E24" s="9" t="n">
        <v>7</v>
      </c>
      <c r="F24" s="9">
        <f>IFERROR(MIN(C24,D24)*E24/C24,0)</f>
        <v/>
      </c>
      <c r="G24" s="9" t="n"/>
    </row>
    <row r="25" ht="14.15" customHeight="1">
      <c r="A25" s="7" t="n">
        <v>10</v>
      </c>
      <c r="B25" s="8" t="inlineStr">
        <is>
          <t>Thickness gauge</t>
        </is>
      </c>
      <c r="C25" s="9" t="n">
        <v>5</v>
      </c>
      <c r="D25" s="9" t="n"/>
      <c r="E25" s="9" t="n">
        <v>5</v>
      </c>
      <c r="F25" s="9">
        <f>IFERROR(MIN(C25,D25)*E25/C25,0)</f>
        <v/>
      </c>
      <c r="G25" s="9" t="n"/>
    </row>
    <row r="26" ht="14.15" customHeight="1">
      <c r="A26" s="7" t="n">
        <v>11</v>
      </c>
      <c r="B26" s="8" t="inlineStr">
        <is>
          <t>Measurement tape</t>
        </is>
      </c>
      <c r="C26" s="9" t="n">
        <v>5</v>
      </c>
      <c r="D26" s="9" t="n"/>
      <c r="E26" s="9" t="n">
        <v>4</v>
      </c>
      <c r="F26" s="9">
        <f>IFERROR(MIN(C26,D26)*E26/C26,0)</f>
        <v/>
      </c>
      <c r="G26" s="9" t="n"/>
    </row>
    <row r="27" ht="14.15" customHeight="1">
      <c r="A27" s="7" t="n">
        <v>12</v>
      </c>
      <c r="B27" s="8" t="inlineStr">
        <is>
          <t>Working Table (Minimum 6 feet)</t>
        </is>
      </c>
      <c r="C27" s="9" t="n">
        <v>5</v>
      </c>
      <c r="D27" s="9" t="n"/>
      <c r="E27" s="9" t="n">
        <v>5</v>
      </c>
      <c r="F27" s="9">
        <f>IFERROR(MIN(C27,D27)*E27/C27,0)</f>
        <v/>
      </c>
      <c r="G27" s="9" t="n"/>
    </row>
    <row r="28" ht="14.15" customHeight="1">
      <c r="A28" s="7" t="n">
        <v>13</v>
      </c>
      <c r="B28" s="8" t="inlineStr">
        <is>
          <t>Sample BOM sheet (Tech-pack)</t>
        </is>
      </c>
      <c r="C28" s="9" t="n">
        <v>10</v>
      </c>
      <c r="D28" s="9" t="n"/>
      <c r="E28" s="9" t="n">
        <v>4</v>
      </c>
      <c r="F28" s="9">
        <f>IFERROR(MIN(C28,D28)*E28/C28,0)</f>
        <v/>
      </c>
      <c r="G28" s="9" t="n"/>
    </row>
    <row r="29" ht="14.15" customHeight="1">
      <c r="A29" s="7" t="n">
        <v>14</v>
      </c>
      <c r="B29" s="8" t="inlineStr">
        <is>
          <t>Sample PI, PO and LC sheet</t>
        </is>
      </c>
      <c r="C29" s="9" t="n">
        <v>10</v>
      </c>
      <c r="D29" s="9" t="n"/>
      <c r="E29" s="9" t="n">
        <v>4</v>
      </c>
      <c r="F29" s="9">
        <f>IFERROR(MIN(C29,D29)*E29/C29,0)</f>
        <v/>
      </c>
      <c r="G29" s="9" t="n"/>
    </row>
    <row r="30" ht="14.15" customHeight="1">
      <c r="A30" s="7" t="n">
        <v>15</v>
      </c>
      <c r="B30" s="8" t="inlineStr">
        <is>
          <t>Sample Shipping Documents (Invoice packing list, BL, CO)</t>
        </is>
      </c>
      <c r="C30" s="9" t="n">
        <v>10</v>
      </c>
      <c r="D30" s="9" t="n"/>
      <c r="E30" s="9" t="n">
        <v>4</v>
      </c>
      <c r="F30" s="9">
        <f>IFERROR(MIN(C30,D30)*E30/C30,0)</f>
        <v/>
      </c>
      <c r="G30" s="9" t="n"/>
    </row>
    <row r="31" ht="14.15" customHeight="1">
      <c r="A31" s="7" t="n">
        <v>16</v>
      </c>
      <c r="B31" s="8" t="inlineStr">
        <is>
          <t>Sample Display Rack</t>
        </is>
      </c>
      <c r="C31" s="9" t="n">
        <v>2</v>
      </c>
      <c r="D31" s="9" t="n"/>
      <c r="E31" s="9" t="n">
        <v>4</v>
      </c>
      <c r="F31" s="9">
        <f>IFERROR(MIN(C31,D31)*E31/C31,0)</f>
        <v/>
      </c>
      <c r="G31" s="9" t="n"/>
    </row>
    <row r="32" ht="14.15" customHeight="1">
      <c r="A32" s="7" t="n">
        <v>17</v>
      </c>
      <c r="B32" s="8" t="inlineStr">
        <is>
          <t>Color Shade Card and Pantone Book</t>
        </is>
      </c>
      <c r="C32" s="9" t="n">
        <v>1</v>
      </c>
      <c r="D32" s="9" t="n"/>
      <c r="E32" s="9" t="n">
        <v>4</v>
      </c>
      <c r="F32" s="9">
        <f>IFERROR(MIN(C32,D32)*E32/C32,0)</f>
        <v/>
      </c>
      <c r="G32" s="9" t="n"/>
    </row>
    <row r="33">
      <c r="A33" s="10" t="inlineStr">
        <is>
          <t>Sum</t>
        </is>
      </c>
      <c r="B33" s="11" t="n"/>
      <c r="C33" s="11" t="n"/>
      <c r="D33" s="12" t="n"/>
      <c r="E33" s="10">
        <f>SUM(E16:E32)</f>
        <v/>
      </c>
      <c r="F33" s="10">
        <f>SUM(F16:F32)</f>
        <v/>
      </c>
      <c r="G33" s="13" t="n"/>
    </row>
    <row r="34">
      <c r="A34" s="10" t="inlineStr">
        <is>
          <t>Score out of 100</t>
        </is>
      </c>
      <c r="B34" s="11" t="n"/>
      <c r="C34" s="11" t="n"/>
      <c r="D34" s="11" t="n"/>
      <c r="E34" s="12" t="n"/>
      <c r="F34" s="10">
        <f>F33/E33*100</f>
        <v/>
      </c>
      <c r="G34" s="13" t="n"/>
    </row>
    <row r="35" ht="9.75" customHeight="1"/>
    <row r="36">
      <c r="A36" s="10" t="inlineStr">
        <is>
          <t xml:space="preserve">Total achieved points out of 30  </t>
        </is>
      </c>
      <c r="B36" s="11" t="n"/>
      <c r="C36" s="11" t="n"/>
      <c r="D36" s="11" t="n"/>
      <c r="E36" s="12" t="n"/>
      <c r="F36" s="10">
        <f>F34*30/100</f>
        <v/>
      </c>
      <c r="G36" s="10" t="inlineStr">
        <is>
          <t>Points</t>
        </is>
      </c>
    </row>
  </sheetData>
  <mergeCells count="8">
    <mergeCell ref="A13:G13"/>
    <mergeCell ref="A34:E34"/>
    <mergeCell ref="C7:G7"/>
    <mergeCell ref="A1:G1"/>
    <mergeCell ref="A35:G35"/>
    <mergeCell ref="A33:D33"/>
    <mergeCell ref="A36:E36"/>
    <mergeCell ref="C8:G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Merchandising for Footwear &amp; Leather Goods Sector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Merchandising for Footwear &amp; Leather Goods Sector</t>
        </is>
      </c>
      <c r="C8" s="4" t="inlineStr">
        <is>
          <t>Classroom – 350 sft (33 sqm)
Workshop/ lab – 800 sft (75 sqm) OR
Classroom cum workshop – 1000 sft (93 sqm)</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Merchandising for Footwear &amp; Leather Goods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Scanner</t>
        </is>
      </c>
      <c r="C18" s="9" t="n">
        <v>1</v>
      </c>
      <c r="D18" s="9" t="n"/>
      <c r="E18" s="9" t="n">
        <v>5</v>
      </c>
      <c r="F18" s="9">
        <f>IFERROR(MIN(C18,D18)*E18/C18,0)</f>
        <v/>
      </c>
      <c r="G18" s="9" t="n"/>
    </row>
    <row r="19" ht="14.15" customHeight="1">
      <c r="A19" s="7" t="n">
        <v>4</v>
      </c>
      <c r="B19" s="8" t="inlineStr">
        <is>
          <t>Printer</t>
        </is>
      </c>
      <c r="C19" s="9" t="n">
        <v>1</v>
      </c>
      <c r="D19" s="9" t="n"/>
      <c r="E19" s="9" t="n">
        <v>5</v>
      </c>
      <c r="F19" s="9">
        <f>IFERROR(MIN(C19,D19)*E19/C19,0)</f>
        <v/>
      </c>
      <c r="G19" s="9" t="n"/>
    </row>
    <row r="20" ht="14.15" customHeight="1">
      <c r="A20" s="7" t="n">
        <v>5</v>
      </c>
      <c r="B20" s="8" t="inlineStr">
        <is>
          <t>Material Swatches and Trims</t>
        </is>
      </c>
      <c r="C20" s="9" t="n"/>
      <c r="D20" s="9" t="n"/>
      <c r="E20" s="9" t="n">
        <v>5</v>
      </c>
      <c r="F20" s="9">
        <f>IFERROR(MIN(C20,D20)*E20/C20,0)</f>
        <v/>
      </c>
      <c r="G20" s="9" t="inlineStr">
        <is>
          <t>As required</t>
        </is>
      </c>
    </row>
    <row r="21" ht="14.15" customHeight="1">
      <c r="A21" s="7" t="n">
        <v>6</v>
      </c>
      <c r="B21" s="8" t="inlineStr">
        <is>
          <t>Show board for footwear</t>
        </is>
      </c>
      <c r="C21" s="9" t="n">
        <v>5</v>
      </c>
      <c r="D21" s="9" t="n"/>
      <c r="E21" s="9" t="n">
        <v>5</v>
      </c>
      <c r="F21" s="9">
        <f>IFERROR(MIN(C21,D21)*E21/C21,0)</f>
        <v/>
      </c>
      <c r="G21" s="9" t="inlineStr">
        <is>
          <t>05 set</t>
        </is>
      </c>
    </row>
    <row r="22" ht="14.15" customHeight="1">
      <c r="A22" s="7" t="n">
        <v>7</v>
      </c>
      <c r="B22" s="8" t="inlineStr">
        <is>
          <t>Measuring Tools (Measuring Tape, Caliper, Ruler)</t>
        </is>
      </c>
      <c r="C22" s="9" t="n">
        <v>25</v>
      </c>
      <c r="D22" s="9" t="n"/>
      <c r="E22" s="9" t="n">
        <v>4</v>
      </c>
      <c r="F22" s="9">
        <f>IFERROR(MIN(C22,D22)*E22/C22,0)</f>
        <v/>
      </c>
      <c r="G22" s="9" t="n"/>
    </row>
    <row r="23" ht="14.15" customHeight="1">
      <c r="A23" s="7" t="n">
        <v>8</v>
      </c>
      <c r="B23" s="8" t="inlineStr">
        <is>
          <t>Leather goods and Footwear sample</t>
        </is>
      </c>
      <c r="C23" s="9" t="n">
        <v>10</v>
      </c>
      <c r="D23" s="9" t="n"/>
      <c r="E23" s="9" t="n">
        <v>6</v>
      </c>
      <c r="F23" s="9">
        <f>IFERROR(MIN(C23,D23)*E23/C23,0)</f>
        <v/>
      </c>
      <c r="G23" s="9" t="n"/>
    </row>
    <row r="24" ht="14.15" customHeight="1">
      <c r="A24" s="7" t="n">
        <v>9</v>
      </c>
      <c r="B24" s="8" t="inlineStr">
        <is>
          <t>Shoe last</t>
        </is>
      </c>
      <c r="C24" s="9" t="n">
        <v>7</v>
      </c>
      <c r="D24" s="9" t="n"/>
      <c r="E24" s="9" t="n">
        <v>7</v>
      </c>
      <c r="F24" s="9">
        <f>IFERROR(MIN(C24,D24)*E24/C24,0)</f>
        <v/>
      </c>
      <c r="G24" s="9" t="n"/>
    </row>
    <row r="25" ht="14.15" customHeight="1">
      <c r="A25" s="7" t="n">
        <v>10</v>
      </c>
      <c r="B25" s="8" t="inlineStr">
        <is>
          <t>Working Table (Minimum 6 feet)</t>
        </is>
      </c>
      <c r="C25" s="9" t="n">
        <v>5</v>
      </c>
      <c r="D25" s="9" t="n"/>
      <c r="E25" s="9" t="n">
        <v>5</v>
      </c>
      <c r="F25" s="9">
        <f>IFERROR(MIN(C25,D25)*E25/C25,0)</f>
        <v/>
      </c>
      <c r="G25" s="9" t="n"/>
    </row>
    <row r="26" ht="14.15" customHeight="1">
      <c r="A26" s="7" t="n">
        <v>11</v>
      </c>
      <c r="B26" s="8" t="inlineStr">
        <is>
          <t>Sample BOM sheet (Tech-pack)</t>
        </is>
      </c>
      <c r="C26" s="9" t="n">
        <v>10</v>
      </c>
      <c r="D26" s="9" t="n"/>
      <c r="E26" s="9" t="n">
        <v>4</v>
      </c>
      <c r="F26" s="9">
        <f>IFERROR(MIN(C26,D26)*E26/C26,0)</f>
        <v/>
      </c>
      <c r="G26" s="9" t="n"/>
    </row>
    <row r="27" ht="14.15" customHeight="1">
      <c r="A27" s="7" t="n">
        <v>12</v>
      </c>
      <c r="B27" s="8" t="inlineStr">
        <is>
          <t>Pattern board</t>
        </is>
      </c>
      <c r="C27" s="9" t="n">
        <v>100</v>
      </c>
      <c r="D27" s="9" t="n"/>
      <c r="E27" s="9" t="n">
        <v>4</v>
      </c>
      <c r="F27" s="9">
        <f>IFERROR(MIN(C27,D27)*E27/C27,0)</f>
        <v/>
      </c>
      <c r="G27" s="9" t="n"/>
    </row>
    <row r="28" ht="14.15" customHeight="1">
      <c r="A28" s="7" t="n">
        <v>13</v>
      </c>
      <c r="B28" s="8" t="inlineStr">
        <is>
          <t>Footwear pattern</t>
        </is>
      </c>
      <c r="C28" s="9" t="n">
        <v>5</v>
      </c>
      <c r="D28" s="9" t="n"/>
      <c r="E28" s="9" t="n">
        <v>5</v>
      </c>
      <c r="F28" s="9">
        <f>IFERROR(MIN(C28,D28)*E28/C28,0)</f>
        <v/>
      </c>
      <c r="G28" s="9" t="inlineStr">
        <is>
          <t>05 set</t>
        </is>
      </c>
    </row>
    <row r="29" ht="14.15" customHeight="1">
      <c r="A29" s="7" t="n">
        <v>14</v>
      </c>
      <c r="B29" s="8" t="inlineStr">
        <is>
          <t>Calculator</t>
        </is>
      </c>
      <c r="C29" s="9" t="n">
        <v>10</v>
      </c>
      <c r="D29" s="9" t="n"/>
      <c r="E29" s="9" t="n">
        <v>3</v>
      </c>
      <c r="F29" s="9">
        <f>IFERROR(MIN(C29,D29)*E29/C29,0)</f>
        <v/>
      </c>
      <c r="G29" s="9" t="n"/>
    </row>
    <row r="30" ht="14.15" customHeight="1">
      <c r="A30" s="7" t="n">
        <v>15</v>
      </c>
      <c r="B30" s="8" t="inlineStr">
        <is>
          <t>Sample Display Rack</t>
        </is>
      </c>
      <c r="C30" s="9" t="n">
        <v>2</v>
      </c>
      <c r="D30" s="9" t="n"/>
      <c r="E30" s="9" t="n">
        <v>4</v>
      </c>
      <c r="F30" s="9">
        <f>IFERROR(MIN(C30,D30)*E30/C30,0)</f>
        <v/>
      </c>
      <c r="G30" s="9" t="n"/>
    </row>
    <row r="31" ht="14.15" customHeight="1">
      <c r="A31" s="7" t="n">
        <v>16</v>
      </c>
      <c r="B31" s="8" t="inlineStr">
        <is>
          <t>Product Sample Cabinet</t>
        </is>
      </c>
      <c r="C31" s="9" t="n">
        <v>2</v>
      </c>
      <c r="D31" s="9" t="n"/>
      <c r="E31" s="9" t="n">
        <v>4</v>
      </c>
      <c r="F31" s="9">
        <f>IFERROR(MIN(C31,D31)*E31/C31,0)</f>
        <v/>
      </c>
      <c r="G31" s="9" t="n"/>
    </row>
    <row r="32" ht="14.15" customHeight="1">
      <c r="A32" s="7" t="n">
        <v>17</v>
      </c>
      <c r="B32" s="8" t="inlineStr">
        <is>
          <t>Leather Swatch Book</t>
        </is>
      </c>
      <c r="C32" s="9" t="n">
        <v>1</v>
      </c>
      <c r="D32" s="9" t="n"/>
      <c r="E32" s="9" t="n">
        <v>4</v>
      </c>
      <c r="F32" s="9">
        <f>IFERROR(MIN(C32,D32)*E32/C32,0)</f>
        <v/>
      </c>
      <c r="G32" s="9" t="n"/>
    </row>
    <row r="33" ht="14.15" customHeight="1">
      <c r="A33" s="7" t="n">
        <v>18</v>
      </c>
      <c r="B33" s="8" t="inlineStr">
        <is>
          <t>Color Shade Card and Pantone Book</t>
        </is>
      </c>
      <c r="C33" s="9" t="n">
        <v>1</v>
      </c>
      <c r="D33" s="9" t="n"/>
      <c r="E33" s="9" t="n">
        <v>4</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Quality Control &amp; Assurance</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row>
    <row r="8" ht="52.2" customHeight="1">
      <c r="B8" s="2" t="inlineStr">
        <is>
          <t>Quality Control &amp; Assurance</t>
        </is>
      </c>
      <c r="C8" s="4" t="inlineStr">
        <is>
          <t>Classroom – 350 sft (33 sqm)
Workshop/ lab – 800 sft (75 sqm) OR
Classroom cum workshop – 1000 sft (93 sqm)</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Quality Control &amp; Assurance,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Display boards with showing components of leather goods</t>
        </is>
      </c>
      <c r="C18" s="9" t="n">
        <v>4</v>
      </c>
      <c r="D18" s="9" t="n"/>
      <c r="E18" s="9" t="n">
        <v>5</v>
      </c>
      <c r="F18" s="9">
        <f>IFERROR(MIN(C18,D18)*E18/C18,0)</f>
        <v/>
      </c>
      <c r="G18" s="9" t="n"/>
    </row>
    <row r="19" ht="14.15" customHeight="1">
      <c r="A19" s="7" t="n">
        <v>4</v>
      </c>
      <c r="B19" s="8" t="inlineStr">
        <is>
          <t>Display boards with showing components of footwear</t>
        </is>
      </c>
      <c r="C19" s="9" t="n">
        <v>4</v>
      </c>
      <c r="D19" s="9" t="n"/>
      <c r="E19" s="9" t="n">
        <v>5</v>
      </c>
      <c r="F19" s="9">
        <f>IFERROR(MIN(C19,D19)*E19/C19,0)</f>
        <v/>
      </c>
      <c r="G19" s="9" t="n"/>
    </row>
    <row r="20" ht="14.15" customHeight="1">
      <c r="A20" s="7" t="n">
        <v>5</v>
      </c>
      <c r="B20" s="8" t="inlineStr">
        <is>
          <t>Materials show boards</t>
        </is>
      </c>
      <c r="C20" s="9" t="n">
        <v>2</v>
      </c>
      <c r="D20" s="9" t="n"/>
      <c r="E20" s="9" t="n">
        <v>5</v>
      </c>
      <c r="F20" s="9">
        <f>IFERROR(MIN(C20,D20)*E20/C20,0)</f>
        <v/>
      </c>
      <c r="G20" s="9" t="n"/>
    </row>
    <row r="21" ht="14.15" customHeight="1">
      <c r="A21" s="7" t="n">
        <v>6</v>
      </c>
      <c r="B21" s="8" t="inlineStr">
        <is>
          <t>Swatch book</t>
        </is>
      </c>
      <c r="C21" s="9" t="n">
        <v>2</v>
      </c>
      <c r="D21" s="9" t="n"/>
      <c r="E21" s="9" t="n">
        <v>5</v>
      </c>
      <c r="F21" s="9">
        <f>IFERROR(MIN(C21,D21)*E21/C21,0)</f>
        <v/>
      </c>
      <c r="G21" s="9" t="n"/>
    </row>
    <row r="22" ht="14.15" customHeight="1">
      <c r="A22" s="7" t="n">
        <v>7</v>
      </c>
      <c r="B22" s="8" t="inlineStr">
        <is>
          <t>Defects library of leather</t>
        </is>
      </c>
      <c r="C22" s="9" t="n">
        <v>1</v>
      </c>
      <c r="D22" s="9" t="n"/>
      <c r="E22" s="9" t="n">
        <v>6</v>
      </c>
      <c r="F22" s="9">
        <f>IFERROR(MIN(C22,D22)*E22/C22,0)</f>
        <v/>
      </c>
      <c r="G22" s="9" t="inlineStr">
        <is>
          <t>01 set</t>
        </is>
      </c>
    </row>
    <row r="23" ht="14.15" customHeight="1">
      <c r="A23" s="7" t="n">
        <v>8</v>
      </c>
      <c r="B23" s="8" t="inlineStr">
        <is>
          <t>Defects library of leather goods</t>
        </is>
      </c>
      <c r="C23" s="9" t="n">
        <v>1</v>
      </c>
      <c r="D23" s="9" t="n"/>
      <c r="E23" s="9" t="n">
        <v>6</v>
      </c>
      <c r="F23" s="9">
        <f>IFERROR(MIN(C23,D23)*E23/C23,0)</f>
        <v/>
      </c>
      <c r="G23" s="9" t="inlineStr">
        <is>
          <t>01 set</t>
        </is>
      </c>
    </row>
    <row r="24" ht="14.15" customHeight="1">
      <c r="A24" s="7" t="n">
        <v>9</v>
      </c>
      <c r="B24" s="8" t="inlineStr">
        <is>
          <t>Defects library of footwear</t>
        </is>
      </c>
      <c r="C24" s="9" t="n">
        <v>1</v>
      </c>
      <c r="D24" s="9" t="n"/>
      <c r="E24" s="9" t="n">
        <v>6</v>
      </c>
      <c r="F24" s="9">
        <f>IFERROR(MIN(C24,D24)*E24/C24,0)</f>
        <v/>
      </c>
      <c r="G24" s="9" t="inlineStr">
        <is>
          <t>01 set</t>
        </is>
      </c>
    </row>
    <row r="25" ht="14.15" customHeight="1">
      <c r="A25" s="7" t="n">
        <v>10</v>
      </c>
      <c r="B25" s="8" t="inlineStr">
        <is>
          <t>Scanner</t>
        </is>
      </c>
      <c r="C25" s="9" t="n">
        <v>1</v>
      </c>
      <c r="D25" s="9" t="n"/>
      <c r="E25" s="9" t="n">
        <v>5</v>
      </c>
      <c r="F25" s="9">
        <f>IFERROR(MIN(C25,D25)*E25/C25,0)</f>
        <v/>
      </c>
      <c r="G25" s="9" t="n"/>
    </row>
    <row r="26" ht="14.15" customHeight="1">
      <c r="A26" s="7" t="n">
        <v>11</v>
      </c>
      <c r="B26" s="8" t="inlineStr">
        <is>
          <t>Printer</t>
        </is>
      </c>
      <c r="C26" s="9" t="n">
        <v>1</v>
      </c>
      <c r="D26" s="9" t="n"/>
      <c r="E26" s="9" t="n">
        <v>5</v>
      </c>
      <c r="F26" s="9">
        <f>IFERROR(MIN(C26,D26)*E26/C26,0)</f>
        <v/>
      </c>
      <c r="G26" s="9" t="n"/>
    </row>
    <row r="27" ht="14.15" customHeight="1">
      <c r="A27" s="7" t="n">
        <v>12</v>
      </c>
      <c r="B27" s="8" t="inlineStr">
        <is>
          <t>Measurement tape</t>
        </is>
      </c>
      <c r="C27" s="9" t="n">
        <v>20</v>
      </c>
      <c r="D27" s="9" t="n"/>
      <c r="E27" s="9" t="n">
        <v>4</v>
      </c>
      <c r="F27" s="9">
        <f>IFERROR(MIN(C27,D27)*E27/C27,0)</f>
        <v/>
      </c>
      <c r="G27" s="9" t="n"/>
    </row>
    <row r="28" ht="14.15" customHeight="1">
      <c r="A28" s="7" t="n">
        <v>13</v>
      </c>
      <c r="B28" s="8" t="inlineStr">
        <is>
          <t>Measurement scale</t>
        </is>
      </c>
      <c r="C28" s="9" t="n">
        <v>20</v>
      </c>
      <c r="D28" s="9" t="n"/>
      <c r="E28" s="9" t="n">
        <v>4</v>
      </c>
      <c r="F28" s="9">
        <f>IFERROR(MIN(C28,D28)*E28/C28,0)</f>
        <v/>
      </c>
      <c r="G28" s="9" t="n"/>
    </row>
    <row r="29" ht="14.15" customHeight="1">
      <c r="A29" s="7" t="n">
        <v>14</v>
      </c>
      <c r="B29" s="8" t="inlineStr">
        <is>
          <t>White duster fabric</t>
        </is>
      </c>
      <c r="C29" s="9" t="n">
        <v>20</v>
      </c>
      <c r="D29" s="9" t="n"/>
      <c r="E29" s="9" t="n">
        <v>3</v>
      </c>
      <c r="F29" s="9">
        <f>IFERROR(MIN(C29,D29)*E29/C29,0)</f>
        <v/>
      </c>
      <c r="G29" s="9" t="n"/>
    </row>
    <row r="30" ht="14.15" customHeight="1">
      <c r="A30" s="7" t="n">
        <v>15</v>
      </c>
      <c r="B30" s="8" t="inlineStr">
        <is>
          <t>Stop watch</t>
        </is>
      </c>
      <c r="C30" s="9" t="n">
        <v>2</v>
      </c>
      <c r="D30" s="9" t="n"/>
      <c r="E30" s="9" t="n">
        <v>5</v>
      </c>
      <c r="F30" s="9">
        <f>IFERROR(MIN(C30,D30)*E30/C30,0)</f>
        <v/>
      </c>
      <c r="G30" s="9" t="n"/>
    </row>
    <row r="31" ht="14.15" customHeight="1">
      <c r="A31" s="7" t="n">
        <v>16</v>
      </c>
      <c r="B31" s="8" t="inlineStr">
        <is>
          <t>Leather thickness measuring gauge</t>
        </is>
      </c>
      <c r="C31" s="9" t="n">
        <v>2</v>
      </c>
      <c r="D31" s="9" t="n"/>
      <c r="E31" s="9" t="n">
        <v>7</v>
      </c>
      <c r="F31" s="9">
        <f>IFERROR(MIN(C31,D31)*E31/C31,0)</f>
        <v/>
      </c>
      <c r="G31" s="9" t="n"/>
    </row>
    <row r="32" ht="14.15" customHeight="1">
      <c r="A32" s="7" t="n">
        <v>17</v>
      </c>
      <c r="B32" s="8" t="inlineStr">
        <is>
          <t>Approved samples of goods and footwear</t>
        </is>
      </c>
      <c r="C32" s="9" t="n">
        <v>6</v>
      </c>
      <c r="D32" s="9" t="n"/>
      <c r="E32" s="9" t="n">
        <v>6</v>
      </c>
      <c r="F32" s="9">
        <f>IFERROR(MIN(C32,D32)*E32/C32,0)</f>
        <v/>
      </c>
      <c r="G32" s="9" t="n"/>
    </row>
    <row r="33">
      <c r="A33" s="10" t="inlineStr">
        <is>
          <t>Sum</t>
        </is>
      </c>
      <c r="B33" s="11" t="n"/>
      <c r="C33" s="11" t="n"/>
      <c r="D33" s="12" t="n"/>
      <c r="E33" s="10">
        <f>SUM(E16:E32)</f>
        <v/>
      </c>
      <c r="F33" s="10">
        <f>SUM(F16:F32)</f>
        <v/>
      </c>
      <c r="G33" s="13" t="n"/>
    </row>
    <row r="34">
      <c r="A34" s="10" t="inlineStr">
        <is>
          <t>Score out of 100</t>
        </is>
      </c>
      <c r="B34" s="11" t="n"/>
      <c r="C34" s="11" t="n"/>
      <c r="D34" s="11" t="n"/>
      <c r="E34" s="12" t="n"/>
      <c r="F34" s="10">
        <f>F33/E33*100</f>
        <v/>
      </c>
      <c r="G34" s="13" t="n"/>
    </row>
    <row r="35" ht="9.75" customHeight="1"/>
    <row r="36">
      <c r="A36" s="10" t="inlineStr">
        <is>
          <t xml:space="preserve">Total achieved points out of 30  </t>
        </is>
      </c>
      <c r="B36" s="11" t="n"/>
      <c r="C36" s="11" t="n"/>
      <c r="D36" s="11" t="n"/>
      <c r="E36" s="12" t="n"/>
      <c r="F36" s="10">
        <f>F34*30/100</f>
        <v/>
      </c>
      <c r="G36" s="10" t="inlineStr">
        <is>
          <t>Points</t>
        </is>
      </c>
    </row>
  </sheetData>
  <mergeCells count="8">
    <mergeCell ref="A13:G13"/>
    <mergeCell ref="A34:E34"/>
    <mergeCell ref="C7:G7"/>
    <mergeCell ref="A1:G1"/>
    <mergeCell ref="A35:G35"/>
    <mergeCell ref="A33:D33"/>
    <mergeCell ref="A36:E36"/>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2026-08-17T07:23:47Z</dcterms:modified>
</cp:coreProperties>
</file>
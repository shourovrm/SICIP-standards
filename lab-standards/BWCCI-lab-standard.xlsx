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ification" sheetId="1" state="visible" r:id="rId1"/>
    <sheet xmlns:r="http://schemas.openxmlformats.org/officeDocument/2006/relationships" name="Fashion Design" sheetId="2" state="visible" r:id="rId2"/>
    <sheet xmlns:r="http://schemas.openxmlformats.org/officeDocument/2006/relationships" name="Food &amp; Beverage" sheetId="3" state="visible" r:id="rId3"/>
    <sheet xmlns:r="http://schemas.openxmlformats.org/officeDocument/2006/relationships" name="Digital Marketing" sheetId="4" state="visible" r:id="rId4"/>
    <sheet xmlns:r="http://schemas.openxmlformats.org/officeDocument/2006/relationships" name="Graphic Design" sheetId="5" state="visible" r:id="rId5"/>
    <sheet xmlns:r="http://schemas.openxmlformats.org/officeDocument/2006/relationships" name="Beautification-Res" sheetId="6" state="visible" r:id="rId6"/>
    <sheet xmlns:r="http://schemas.openxmlformats.org/officeDocument/2006/relationships" name="Fashion Design-Re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 and entrepreneurship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 with screen</t>
        </is>
      </c>
      <c r="C17" s="9" t="n">
        <v>1</v>
      </c>
      <c r="D17" s="9" t="n">
        <v>0</v>
      </c>
      <c r="E17" s="9" t="n">
        <v>5</v>
      </c>
      <c r="F17" s="9">
        <f>IFERROR(MIN(C17,D17)*E17/C17,0)</f>
        <v/>
      </c>
      <c r="G17" s="9" t="n"/>
    </row>
    <row r="18" ht="14.15" customHeight="1">
      <c r="A18" s="18" t="n">
        <v>3</v>
      </c>
      <c r="B18" s="8" t="inlineStr">
        <is>
          <t>Internet connectivity</t>
        </is>
      </c>
      <c r="C18" s="9" t="n">
        <v>1</v>
      </c>
      <c r="D18" s="9" t="n">
        <v>0</v>
      </c>
      <c r="E18" s="9" t="n">
        <v>5</v>
      </c>
      <c r="F18" s="9">
        <f>IFERROR(MIN(C18,D18)*E18/C18,0)</f>
        <v/>
      </c>
      <c r="G18" s="9" t="n"/>
    </row>
    <row r="19" ht="14.15" customHeight="1">
      <c r="A19" s="18" t="n">
        <v>4</v>
      </c>
      <c r="B19" s="8" t="inlineStr">
        <is>
          <t>Hair cutting chair</t>
        </is>
      </c>
      <c r="C19" s="9" t="n">
        <v>5</v>
      </c>
      <c r="D19" s="9" t="n">
        <v>0</v>
      </c>
      <c r="E19" s="9" t="n">
        <v>8</v>
      </c>
      <c r="F19" s="9">
        <f>IFERROR(MIN(C19,D19)*E19/C19,0)</f>
        <v/>
      </c>
      <c r="G19" s="9" t="n"/>
    </row>
    <row r="20" ht="14.15" customHeight="1">
      <c r="A20" s="18" t="n">
        <v>5</v>
      </c>
      <c r="B20" s="8" t="inlineStr">
        <is>
          <t>Facial bed</t>
        </is>
      </c>
      <c r="C20" s="9" t="n">
        <v>5</v>
      </c>
      <c r="D20" s="9" t="n">
        <v>0</v>
      </c>
      <c r="E20" s="9" t="n">
        <v>8</v>
      </c>
      <c r="F20" s="9">
        <f>IFERROR(MIN(C20,D20)*E20/C20,0)</f>
        <v/>
      </c>
      <c r="G20" s="9" t="n"/>
    </row>
    <row r="21" ht="14.15" customHeight="1">
      <c r="A21" s="18" t="n">
        <v>6</v>
      </c>
      <c r="B21" s="8" t="inlineStr">
        <is>
          <t>Manicure and pedicure table</t>
        </is>
      </c>
      <c r="C21" s="9" t="n">
        <v>5</v>
      </c>
      <c r="D21" s="9" t="n">
        <v>0</v>
      </c>
      <c r="E21" s="9" t="n">
        <v>8</v>
      </c>
      <c r="F21" s="9">
        <f>IFERROR(MIN(C21,D21)*E21/C21,0)</f>
        <v/>
      </c>
      <c r="G21" s="9" t="n"/>
    </row>
    <row r="22" ht="14.15" customHeight="1">
      <c r="A22" s="18" t="n">
        <v>7</v>
      </c>
      <c r="B22" s="8" t="inlineStr">
        <is>
          <t>Threading chair</t>
        </is>
      </c>
      <c r="C22" s="9" t="n">
        <v>5</v>
      </c>
      <c r="D22" s="9" t="n">
        <v>0</v>
      </c>
      <c r="E22" s="9" t="n">
        <v>7</v>
      </c>
      <c r="F22" s="9">
        <f>IFERROR(MIN(C22,D22)*E22/C22,0)</f>
        <v/>
      </c>
      <c r="G22" s="9" t="n"/>
    </row>
    <row r="23" ht="14.15" customHeight="1">
      <c r="A23" s="18" t="n">
        <v>8</v>
      </c>
      <c r="B23" s="8" t="inlineStr">
        <is>
          <t>Shampoo bed</t>
        </is>
      </c>
      <c r="C23" s="9" t="n">
        <v>2</v>
      </c>
      <c r="D23" s="9" t="n">
        <v>0</v>
      </c>
      <c r="E23" s="9" t="n">
        <v>7</v>
      </c>
      <c r="F23" s="9">
        <f>IFERROR(MIN(C23,D23)*E23/C23,0)</f>
        <v/>
      </c>
      <c r="G23" s="9" t="n"/>
    </row>
    <row r="24" ht="14.15" customHeight="1">
      <c r="A24" s="18" t="n">
        <v>9</v>
      </c>
      <c r="B24" s="8" t="inlineStr">
        <is>
          <t>Steam machine (face)</t>
        </is>
      </c>
      <c r="C24" s="9" t="n">
        <v>5</v>
      </c>
      <c r="D24" s="9" t="n">
        <v>0</v>
      </c>
      <c r="E24" s="9" t="n">
        <v>8</v>
      </c>
      <c r="F24" s="9">
        <f>IFERROR(MIN(C24,D24)*E24/C24,0)</f>
        <v/>
      </c>
      <c r="G24" s="9" t="n"/>
    </row>
    <row r="25" ht="14.15" customHeight="1">
      <c r="A25" s="18" t="n">
        <v>10</v>
      </c>
      <c r="B25" s="8" t="inlineStr">
        <is>
          <t>Steam machine (hair)</t>
        </is>
      </c>
      <c r="C25" s="9" t="n">
        <v>2</v>
      </c>
      <c r="D25" s="9" t="n">
        <v>0</v>
      </c>
      <c r="E25" s="9" t="n">
        <v>8</v>
      </c>
      <c r="F25" s="9">
        <f>IFERROR(MIN(C25,D25)*E25/C25,0)</f>
        <v/>
      </c>
      <c r="G25" s="9" t="n"/>
    </row>
    <row r="26" ht="14.15" customHeight="1">
      <c r="A26" s="18" t="n">
        <v>11</v>
      </c>
      <c r="B26" s="8" t="inlineStr">
        <is>
          <t>Hair dryer</t>
        </is>
      </c>
      <c r="C26" s="9" t="n">
        <v>5</v>
      </c>
      <c r="D26" s="9" t="n">
        <v>0</v>
      </c>
      <c r="E26" s="9" t="n">
        <v>7</v>
      </c>
      <c r="F26" s="9">
        <f>IFERROR(MIN(C26,D26)*E26/C26,0)</f>
        <v/>
      </c>
      <c r="G26" s="9" t="n"/>
    </row>
    <row r="27" ht="14.15" customHeight="1">
      <c r="A27" s="18" t="n">
        <v>12</v>
      </c>
      <c r="B27" s="8" t="inlineStr">
        <is>
          <t>Hair straightener</t>
        </is>
      </c>
      <c r="C27" s="9" t="n">
        <v>5</v>
      </c>
      <c r="D27" s="9" t="n">
        <v>0</v>
      </c>
      <c r="E27" s="9" t="n">
        <v>7</v>
      </c>
      <c r="F27" s="9">
        <f>IFERROR(MIN(C27,D27)*E27/C27,0)</f>
        <v/>
      </c>
      <c r="G27" s="9" t="n"/>
    </row>
    <row r="28" ht="14.15" customHeight="1">
      <c r="A28" s="18" t="n">
        <v>13</v>
      </c>
      <c r="B28" s="8" t="inlineStr">
        <is>
          <t>Curl/tong</t>
        </is>
      </c>
      <c r="C28" s="9" t="n">
        <v>5</v>
      </c>
      <c r="D28" s="9" t="n">
        <v>0</v>
      </c>
      <c r="E28" s="9" t="n">
        <v>6</v>
      </c>
      <c r="F28" s="9">
        <f>IFERROR(MIN(C28,D28)*E28/C28,0)</f>
        <v/>
      </c>
      <c r="G28" s="9" t="n"/>
    </row>
    <row r="29" ht="14.15" customHeight="1">
      <c r="A29" s="18" t="n">
        <v>14</v>
      </c>
      <c r="B29" s="8" t="inlineStr">
        <is>
          <t>Scissors</t>
        </is>
      </c>
      <c r="C29" s="9" t="n">
        <v>25</v>
      </c>
      <c r="D29" s="9" t="n">
        <v>0</v>
      </c>
      <c r="E29" s="9" t="n">
        <v>4</v>
      </c>
      <c r="F29" s="9">
        <f>IFERROR(MIN(C29,D29)*E29/C29,0)</f>
        <v/>
      </c>
      <c r="G29" s="9" t="n"/>
    </row>
    <row r="30" ht="14.15" customHeight="1">
      <c r="A30" s="18" t="n">
        <v>15</v>
      </c>
      <c r="B30" s="8" t="inlineStr">
        <is>
          <t>Crimper</t>
        </is>
      </c>
      <c r="C30" s="9" t="n">
        <v>2</v>
      </c>
      <c r="D30" s="9" t="n">
        <v>0</v>
      </c>
      <c r="E30" s="9" t="n">
        <v>6</v>
      </c>
      <c r="F30" s="9">
        <f>IFERROR(MIN(C30,D30)*E30/C30,0)</f>
        <v/>
      </c>
      <c r="G30" s="9" t="n"/>
    </row>
    <row r="31" ht="14.15" customHeight="1">
      <c r="A31" s="18" t="n">
        <v>16</v>
      </c>
      <c r="B31" s="8" t="inlineStr">
        <is>
          <t>Facial machine (3 in one)</t>
        </is>
      </c>
      <c r="C31" s="9" t="n">
        <v>2</v>
      </c>
      <c r="D31" s="9" t="n">
        <v>0</v>
      </c>
      <c r="E31" s="9" t="n">
        <v>9</v>
      </c>
      <c r="F31" s="9">
        <f>IFERROR(MIN(C31,D31)*E31/C31,0)</f>
        <v/>
      </c>
      <c r="G31" s="9" t="n"/>
    </row>
    <row r="32" ht="14.15" customHeight="1">
      <c r="A32" s="18" t="n">
        <v>17</v>
      </c>
      <c r="B32" s="8" t="inlineStr">
        <is>
          <t>Wax heater</t>
        </is>
      </c>
      <c r="C32" s="9" t="n">
        <v>5</v>
      </c>
      <c r="D32" s="9" t="n">
        <v>0</v>
      </c>
      <c r="E32" s="9" t="n">
        <v>7</v>
      </c>
      <c r="F32" s="9">
        <f>IFERROR(MIN(C32,D32)*E32/C32,0)</f>
        <v/>
      </c>
      <c r="G32" s="9" t="n"/>
    </row>
    <row r="33" ht="14.15" customHeight="1">
      <c r="A33" s="18" t="n">
        <v>18</v>
      </c>
      <c r="B33" s="8" t="inlineStr">
        <is>
          <t>Piercing gun</t>
        </is>
      </c>
      <c r="C33" s="9" t="n">
        <v>2</v>
      </c>
      <c r="D33" s="9" t="n">
        <v>0</v>
      </c>
      <c r="E33" s="9" t="n">
        <v>6</v>
      </c>
      <c r="F33" s="9">
        <f>IFERROR(MIN(C33,D33)*E33/C33,0)</f>
        <v/>
      </c>
      <c r="G33" s="9" t="n"/>
    </row>
    <row r="34">
      <c r="A34" s="19" t="inlineStr">
        <is>
          <t>Sum</t>
        </is>
      </c>
      <c r="B34" s="11" t="n"/>
      <c r="C34" s="11" t="n"/>
      <c r="D34" s="12" t="n"/>
      <c r="E34" s="19">
        <f>SUM(E16:E33)</f>
        <v/>
      </c>
      <c r="F34" s="19">
        <f>SUM(F16:F33)</f>
        <v/>
      </c>
      <c r="G34" s="13" t="n"/>
    </row>
    <row r="35">
      <c r="A35" s="19" t="inlineStr">
        <is>
          <t>Score out of 100</t>
        </is>
      </c>
      <c r="B35" s="11" t="n"/>
      <c r="C35" s="11" t="n"/>
      <c r="D35" s="11" t="n"/>
      <c r="E35" s="12" t="n"/>
      <c r="F35" s="19">
        <f>F34/E34*100</f>
        <v/>
      </c>
      <c r="G35" s="13" t="n"/>
    </row>
    <row r="36" ht="9.75" customHeight="1"/>
    <row r="37">
      <c r="A37" s="19" t="inlineStr">
        <is>
          <t xml:space="preserve">Total achieved points out of 30  </t>
        </is>
      </c>
      <c r="B37" s="11" t="n"/>
      <c r="C37" s="11" t="n"/>
      <c r="D37" s="11" t="n"/>
      <c r="E37" s="12" t="n"/>
      <c r="F37" s="19">
        <f>F35*30/100</f>
        <v/>
      </c>
      <c r="G37" s="19"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Design, Product Development and Entrepreneurship</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Design, Product Development and Entrepreneurship</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Design, Product Development and Entrepreneurship,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 / Laptop (with relevant design software)</t>
        </is>
      </c>
      <c r="C16" s="9" t="n">
        <v>5</v>
      </c>
      <c r="D16" s="9" t="n">
        <v>0</v>
      </c>
      <c r="E16" s="9" t="n">
        <v>5</v>
      </c>
      <c r="F16" s="9">
        <f>IFERROR(MIN(C16,D16)*E16/C16,0)</f>
        <v/>
      </c>
      <c r="G16" s="9" t="n"/>
    </row>
    <row r="17" ht="14.15" customHeight="1">
      <c r="A17" s="18" t="n">
        <v>2</v>
      </c>
      <c r="B17" s="8" t="inlineStr">
        <is>
          <t>Multimedia Projector &amp; Screen (HD quality, HDMI support)</t>
        </is>
      </c>
      <c r="C17" s="9" t="n">
        <v>1</v>
      </c>
      <c r="D17" s="9" t="n">
        <v>0</v>
      </c>
      <c r="E17" s="9" t="n">
        <v>5</v>
      </c>
      <c r="F17" s="9">
        <f>IFERROR(MIN(C17,D17)*E17/C17,0)</f>
        <v/>
      </c>
      <c r="G17" s="9" t="n"/>
    </row>
    <row r="18" ht="14.15" customHeight="1">
      <c r="A18" s="18" t="n">
        <v>3</v>
      </c>
      <c r="B18" s="8" t="inlineStr">
        <is>
          <t>Printer</t>
        </is>
      </c>
      <c r="C18" s="9" t="n">
        <v>1</v>
      </c>
      <c r="D18" s="9" t="n">
        <v>0</v>
      </c>
      <c r="E18" s="9" t="n">
        <v>5</v>
      </c>
      <c r="F18" s="9">
        <f>IFERROR(MIN(C18,D18)*E18/C18,0)</f>
        <v/>
      </c>
      <c r="G18" s="9" t="n"/>
    </row>
    <row r="19" ht="14.15" customHeight="1">
      <c r="A19" s="18" t="n">
        <v>4</v>
      </c>
      <c r="B19" s="8" t="inlineStr">
        <is>
          <t>Single Needle Lock Stitch Machine (Industrial/Domestic)</t>
        </is>
      </c>
      <c r="C19" s="9" t="n">
        <v>25</v>
      </c>
      <c r="D19" s="9" t="n">
        <v>0</v>
      </c>
      <c r="E19" s="9" t="n">
        <v>10</v>
      </c>
      <c r="F19" s="9">
        <f>IFERROR(MIN(C19,D19)*E19/C19,0)</f>
        <v/>
      </c>
      <c r="G19" s="9" t="n"/>
    </row>
    <row r="20" ht="14.15" customHeight="1">
      <c r="A20" s="18" t="n">
        <v>5</v>
      </c>
      <c r="B20" s="8" t="inlineStr">
        <is>
          <t>Overlock Machine (3 or 4 threads)</t>
        </is>
      </c>
      <c r="C20" s="9" t="n">
        <v>2</v>
      </c>
      <c r="D20" s="9" t="n">
        <v>0</v>
      </c>
      <c r="E20" s="9" t="n">
        <v>9</v>
      </c>
      <c r="F20" s="9">
        <f>IFERROR(MIN(C20,D20)*E20/C20,0)</f>
        <v/>
      </c>
      <c r="G20" s="9" t="n"/>
    </row>
    <row r="21" ht="14.15" customHeight="1">
      <c r="A21" s="18" t="n">
        <v>6</v>
      </c>
      <c r="B21" s="8" t="inlineStr">
        <is>
          <t>Embroidery Machine (Manual/Computerized)</t>
        </is>
      </c>
      <c r="C21" s="9" t="n">
        <v>1</v>
      </c>
      <c r="D21" s="9" t="n">
        <v>0</v>
      </c>
      <c r="E21" s="9" t="n">
        <v>7</v>
      </c>
      <c r="F21" s="9">
        <f>IFERROR(MIN(C21,D21)*E21/C21,0)</f>
        <v/>
      </c>
      <c r="G21" s="9" t="n"/>
    </row>
    <row r="22" ht="14.15" customHeight="1">
      <c r="A22" s="18" t="n">
        <v>7</v>
      </c>
      <c r="B22" s="8" t="inlineStr">
        <is>
          <t>Button Hole Machine</t>
        </is>
      </c>
      <c r="C22" s="9" t="n">
        <v>1</v>
      </c>
      <c r="D22" s="9" t="n">
        <v>0</v>
      </c>
      <c r="E22" s="9" t="n">
        <v>6</v>
      </c>
      <c r="F22" s="9">
        <f>IFERROR(MIN(C22,D22)*E22/C22,0)</f>
        <v/>
      </c>
      <c r="G22" s="9" t="n"/>
    </row>
    <row r="23" ht="14.15" customHeight="1">
      <c r="A23" s="18" t="n">
        <v>8</v>
      </c>
      <c r="B23" s="8" t="inlineStr">
        <is>
          <t>Button Stitch Machine</t>
        </is>
      </c>
      <c r="C23" s="9" t="n">
        <v>1</v>
      </c>
      <c r="D23" s="9" t="n">
        <v>0</v>
      </c>
      <c r="E23" s="9" t="n">
        <v>6</v>
      </c>
      <c r="F23" s="9">
        <f>IFERROR(MIN(C23,D23)*E23/C23,0)</f>
        <v/>
      </c>
      <c r="G23" s="9" t="n"/>
    </row>
    <row r="24" ht="14.15" customHeight="1">
      <c r="A24" s="18" t="n">
        <v>9</v>
      </c>
      <c r="B24" s="8" t="inlineStr">
        <is>
          <t>Cutting Table (Standard size: min. 5ft - 60”x50”)</t>
        </is>
      </c>
      <c r="C24" s="9" t="n">
        <v>2</v>
      </c>
      <c r="D24" s="9" t="n">
        <v>0</v>
      </c>
      <c r="E24" s="9" t="n">
        <v>7</v>
      </c>
      <c r="F24" s="9">
        <f>IFERROR(MIN(C24,D24)*E24/C24,0)</f>
        <v/>
      </c>
      <c r="G24" s="9" t="n"/>
    </row>
    <row r="25" ht="14.15" customHeight="1">
      <c r="A25" s="18" t="n">
        <v>10</v>
      </c>
      <c r="B25" s="8" t="inlineStr">
        <is>
          <t>Pattern Making &amp; Printing Table (Min 5ft)</t>
        </is>
      </c>
      <c r="C25" s="9" t="n">
        <v>3</v>
      </c>
      <c r="D25" s="9" t="n">
        <v>0</v>
      </c>
      <c r="E25" s="9" t="n">
        <v>6</v>
      </c>
      <c r="F25" s="9">
        <f>IFERROR(MIN(C25,D25)*E25/C25,0)</f>
        <v/>
      </c>
      <c r="G25" s="9" t="n"/>
    </row>
    <row r="26" ht="14.15" customHeight="1">
      <c r="A26" s="18" t="n">
        <v>11</v>
      </c>
      <c r="B26" s="8" t="inlineStr">
        <is>
          <t>Mannequins / Dress Forms (Male, Female, and Child standard sizes)</t>
        </is>
      </c>
      <c r="C26" s="9" t="n">
        <v>5</v>
      </c>
      <c r="D26" s="9" t="n">
        <v>0</v>
      </c>
      <c r="E26" s="9" t="n">
        <v>9</v>
      </c>
      <c r="F26" s="9">
        <f>IFERROR(MIN(C26,D26)*E26/C26,0)</f>
        <v/>
      </c>
      <c r="G26" s="9" t="n"/>
    </row>
    <row r="27" ht="14.15" customHeight="1">
      <c r="A27" s="18" t="n">
        <v>12</v>
      </c>
      <c r="B27" s="8" t="inlineStr">
        <is>
          <t>Electric Steam Iron with Ironing Table</t>
        </is>
      </c>
      <c r="C27" s="9" t="n">
        <v>1</v>
      </c>
      <c r="D27" s="9" t="n">
        <v>0</v>
      </c>
      <c r="E27" s="9" t="n">
        <v>6</v>
      </c>
      <c r="F27" s="9">
        <f>IFERROR(MIN(C27,D27)*E27/C27,0)</f>
        <v/>
      </c>
      <c r="G27" s="9" t="n"/>
    </row>
    <row r="28" ht="14.15" customHeight="1">
      <c r="A28" s="18" t="n">
        <v>13</v>
      </c>
      <c r="B28" s="8" t="inlineStr">
        <is>
          <t>Burner for Dyeing and Printing</t>
        </is>
      </c>
      <c r="C28" s="9" t="n">
        <v>2</v>
      </c>
      <c r="D28" s="9" t="n">
        <v>0</v>
      </c>
      <c r="E28" s="9" t="n">
        <v>5</v>
      </c>
      <c r="F28" s="9">
        <f>IFERROR(MIN(C28,D28)*E28/C28,0)</f>
        <v/>
      </c>
      <c r="G28" s="9" t="n"/>
    </row>
    <row r="29" ht="14.15" customHeight="1">
      <c r="A29" s="18" t="n">
        <v>14</v>
      </c>
      <c r="B29" s="8" t="inlineStr">
        <is>
          <t>Tracing Wheels</t>
        </is>
      </c>
      <c r="C29" s="9" t="n">
        <v>25</v>
      </c>
      <c r="D29" s="9" t="n">
        <v>0</v>
      </c>
      <c r="E29" s="9" t="n">
        <v>4</v>
      </c>
      <c r="F29" s="9">
        <f>IFERROR(MIN(C29,D29)*E29/C29,0)</f>
        <v/>
      </c>
      <c r="G29" s="9" t="n"/>
    </row>
    <row r="30" ht="14.15" customHeight="1">
      <c r="A30" s="18" t="n">
        <v>15</v>
      </c>
      <c r="B30" s="8" t="inlineStr">
        <is>
          <t>Sets of Pattern Making Curves (French curve, Hip curve, etc.)</t>
        </is>
      </c>
      <c r="C30" s="9" t="n">
        <v>25</v>
      </c>
      <c r="D30" s="9" t="n">
        <v>0</v>
      </c>
      <c r="E30" s="9" t="n">
        <v>4</v>
      </c>
      <c r="F30" s="9">
        <f>IFERROR(MIN(C30,D30)*E30/C30,0)</f>
        <v/>
      </c>
      <c r="G30" s="9" t="n"/>
    </row>
    <row r="31" ht="14.15" customHeight="1">
      <c r="A31" s="18" t="n">
        <v>16</v>
      </c>
      <c r="B31" s="8" t="inlineStr">
        <is>
          <t>Fabric Cutting Scissors (10”-12”)</t>
        </is>
      </c>
      <c r="C31" s="9" t="n">
        <v>25</v>
      </c>
      <c r="D31" s="9" t="n">
        <v>0</v>
      </c>
      <c r="E31" s="9" t="n">
        <v>4</v>
      </c>
      <c r="F31" s="9">
        <f>IFERROR(MIN(C31,D31)*E31/C31,0)</f>
        <v/>
      </c>
      <c r="G31" s="9" t="n"/>
    </row>
    <row r="32" ht="14.15" customHeight="1">
      <c r="A32" s="18" t="n">
        <v>17</v>
      </c>
      <c r="B32" s="8" t="inlineStr">
        <is>
          <t>Different Screen for Printing</t>
        </is>
      </c>
      <c r="C32" s="9" t="n">
        <v>10</v>
      </c>
      <c r="D32" s="9" t="n">
        <v>0</v>
      </c>
      <c r="E32" s="9" t="n">
        <v>5</v>
      </c>
      <c r="F32" s="9">
        <f>IFERROR(MIN(C32,D32)*E32/C32,0)</f>
        <v/>
      </c>
      <c r="G32" s="9" t="n"/>
    </row>
    <row r="33" ht="14.15" customHeight="1">
      <c r="A33" s="18" t="n">
        <v>18</v>
      </c>
      <c r="B33" s="8" t="inlineStr">
        <is>
          <t>Different Dices for Block Printing</t>
        </is>
      </c>
      <c r="C33" s="9" t="n">
        <v>15</v>
      </c>
      <c r="D33" s="9" t="n">
        <v>0</v>
      </c>
      <c r="E33" s="9" t="n">
        <v>5</v>
      </c>
      <c r="F33" s="9">
        <f>IFERROR(MIN(C33,D33)*E33/C33,0)</f>
        <v/>
      </c>
      <c r="G33" s="9" t="n"/>
    </row>
    <row r="34" ht="14.15" customHeight="1">
      <c r="A34" s="18" t="n">
        <v>19</v>
      </c>
      <c r="B34" s="8" t="inlineStr">
        <is>
          <t>Sewing Tool Box (Measuring tape, tailor’s chalk, needles, etc.)</t>
        </is>
      </c>
      <c r="C34" s="9" t="n">
        <v>25</v>
      </c>
      <c r="D34" s="9" t="n">
        <v>0</v>
      </c>
      <c r="E34" s="9" t="n">
        <v>4</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t>
        </is>
      </c>
      <c r="C17" s="9" t="n">
        <v>1</v>
      </c>
      <c r="D17" s="9" t="n">
        <v>0</v>
      </c>
      <c r="E17" s="9" t="n">
        <v>5</v>
      </c>
      <c r="F17" s="9">
        <f>IFERROR(MIN(C17,D17)*E17/C17,0)</f>
        <v/>
      </c>
      <c r="G17" s="9" t="n"/>
    </row>
    <row r="18" ht="14.15" customHeight="1">
      <c r="A18" s="18" t="n">
        <v>3</v>
      </c>
      <c r="B18" s="8" t="inlineStr">
        <is>
          <t>Cooking station (02 burner each station)</t>
        </is>
      </c>
      <c r="C18" s="9" t="n">
        <v>6</v>
      </c>
      <c r="D18" s="9" t="n">
        <v>0</v>
      </c>
      <c r="E18" s="9" t="n">
        <v>9</v>
      </c>
      <c r="F18" s="9">
        <f>IFERROR(MIN(C18,D18)*E18/C18,0)</f>
        <v/>
      </c>
      <c r="G18" s="9" t="n"/>
    </row>
    <row r="19" ht="14.15" customHeight="1">
      <c r="A19" s="18" t="n">
        <v>4</v>
      </c>
      <c r="B19" s="8" t="inlineStr">
        <is>
          <t>Electric and induction stoves</t>
        </is>
      </c>
      <c r="C19" s="9" t="n">
        <v>5</v>
      </c>
      <c r="D19" s="9" t="n">
        <v>0</v>
      </c>
      <c r="E19" s="9" t="n">
        <v>9</v>
      </c>
      <c r="F19" s="9">
        <f>IFERROR(MIN(C19,D19)*E19/C19,0)</f>
        <v/>
      </c>
      <c r="G19" s="9" t="n"/>
    </row>
    <row r="20" ht="14.15" customHeight="1">
      <c r="A20" s="18" t="n">
        <v>5</v>
      </c>
      <c r="B20" s="8" t="inlineStr">
        <is>
          <t>Food processors</t>
        </is>
      </c>
      <c r="C20" s="9" t="n">
        <v>2</v>
      </c>
      <c r="D20" s="9" t="n">
        <v>0</v>
      </c>
      <c r="E20" s="9" t="n">
        <v>7</v>
      </c>
      <c r="F20" s="9">
        <f>IFERROR(MIN(C20,D20)*E20/C20,0)</f>
        <v/>
      </c>
      <c r="G20" s="9" t="n"/>
    </row>
    <row r="21" ht="14.15" customHeight="1">
      <c r="A21" s="18" t="n">
        <v>6</v>
      </c>
      <c r="B21" s="8" t="inlineStr">
        <is>
          <t>Blender Machine</t>
        </is>
      </c>
      <c r="C21" s="9" t="n">
        <v>3</v>
      </c>
      <c r="D21" s="9" t="n">
        <v>0</v>
      </c>
      <c r="E21" s="9" t="n">
        <v>6</v>
      </c>
      <c r="F21" s="9">
        <f>IFERROR(MIN(C21,D21)*E21/C21,0)</f>
        <v/>
      </c>
      <c r="G21" s="9" t="n"/>
    </row>
    <row r="22" ht="14.15" customHeight="1">
      <c r="A22" s="18" t="n">
        <v>7</v>
      </c>
      <c r="B22" s="8" t="inlineStr">
        <is>
          <t>Refrigerator (200-300 L)</t>
        </is>
      </c>
      <c r="C22" s="9" t="n">
        <v>2</v>
      </c>
      <c r="D22" s="9" t="n">
        <v>0</v>
      </c>
      <c r="E22" s="9" t="n">
        <v>8</v>
      </c>
      <c r="F22" s="9">
        <f>IFERROR(MIN(C22,D22)*E22/C22,0)</f>
        <v/>
      </c>
      <c r="G22" s="9" t="n"/>
    </row>
    <row r="23" ht="14.15" customHeight="1">
      <c r="A23" s="18" t="n">
        <v>8</v>
      </c>
      <c r="B23" s="8" t="inlineStr">
        <is>
          <t>Freezers (200-300 L)</t>
        </is>
      </c>
      <c r="C23" s="9" t="n">
        <v>1</v>
      </c>
      <c r="D23" s="9" t="n">
        <v>0</v>
      </c>
      <c r="E23" s="9" t="n">
        <v>7</v>
      </c>
      <c r="F23" s="9">
        <f>IFERROR(MIN(C23,D23)*E23/C23,0)</f>
        <v/>
      </c>
      <c r="G23" s="9" t="n"/>
    </row>
    <row r="24" ht="14.15" customHeight="1">
      <c r="A24" s="18" t="n">
        <v>9</v>
      </c>
      <c r="B24" s="8" t="inlineStr">
        <is>
          <t>Microwave oven</t>
        </is>
      </c>
      <c r="C24" s="9" t="n">
        <v>2</v>
      </c>
      <c r="D24" s="9" t="n">
        <v>0</v>
      </c>
      <c r="E24" s="9" t="n">
        <v>6</v>
      </c>
      <c r="F24" s="9">
        <f>IFERROR(MIN(C24,D24)*E24/C24,0)</f>
        <v/>
      </c>
      <c r="G24" s="9" t="n"/>
    </row>
    <row r="25" ht="14.15" customHeight="1">
      <c r="A25" s="18" t="n">
        <v>10</v>
      </c>
      <c r="B25" s="8" t="inlineStr">
        <is>
          <t>Griller</t>
        </is>
      </c>
      <c r="C25" s="9" t="n">
        <v>1</v>
      </c>
      <c r="D25" s="9" t="n">
        <v>0</v>
      </c>
      <c r="E25" s="9" t="n">
        <v>6</v>
      </c>
      <c r="F25" s="9">
        <f>IFERROR(MIN(C25,D25)*E25/C25,0)</f>
        <v/>
      </c>
      <c r="G25" s="9" t="n"/>
    </row>
    <row r="26" ht="14.15" customHeight="1">
      <c r="A26" s="18" t="n">
        <v>11</v>
      </c>
      <c r="B26" s="8" t="inlineStr">
        <is>
          <t>Meat mincer</t>
        </is>
      </c>
      <c r="C26" s="9" t="n">
        <v>1</v>
      </c>
      <c r="D26" s="9" t="n">
        <v>0</v>
      </c>
      <c r="E26" s="9" t="n">
        <v>6</v>
      </c>
      <c r="F26" s="9">
        <f>IFERROR(MIN(C26,D26)*E26/C26,0)</f>
        <v/>
      </c>
      <c r="G26" s="9" t="n"/>
    </row>
    <row r="27" ht="14.15" customHeight="1">
      <c r="A27" s="18" t="n">
        <v>12</v>
      </c>
      <c r="B27" s="8" t="inlineStr">
        <is>
          <t>Convection Oven/Deck oven</t>
        </is>
      </c>
      <c r="C27" s="9" t="n">
        <v>1</v>
      </c>
      <c r="D27" s="9" t="n">
        <v>0</v>
      </c>
      <c r="E27" s="9" t="n">
        <v>9</v>
      </c>
      <c r="F27" s="9">
        <f>IFERROR(MIN(C27,D27)*E27/C27,0)</f>
        <v/>
      </c>
      <c r="G27" s="9" t="n"/>
    </row>
    <row r="28" ht="14.15" customHeight="1">
      <c r="A28" s="18" t="n">
        <v>13</v>
      </c>
      <c r="B28" s="8" t="inlineStr">
        <is>
          <t>Working table (preferred size – 6ft x 3ft)</t>
        </is>
      </c>
      <c r="C28" s="9" t="n">
        <v>5</v>
      </c>
      <c r="D28" s="9" t="n">
        <v>0</v>
      </c>
      <c r="E28" s="9" t="n">
        <v>7</v>
      </c>
      <c r="F28" s="9">
        <f>IFERROR(MIN(C28,D28)*E28/C28,0)</f>
        <v/>
      </c>
      <c r="G28" s="9" t="n"/>
    </row>
    <row r="29" ht="14.15" customHeight="1">
      <c r="A29" s="18" t="n">
        <v>14</v>
      </c>
      <c r="B29" s="8" t="inlineStr">
        <is>
          <t>Table with Sink</t>
        </is>
      </c>
      <c r="C29" s="9" t="n">
        <v>2</v>
      </c>
      <c r="D29" s="9" t="n">
        <v>0</v>
      </c>
      <c r="E29" s="9" t="n">
        <v>6</v>
      </c>
      <c r="F29" s="9">
        <f>IFERROR(MIN(C29,D29)*E29/C29,0)</f>
        <v/>
      </c>
      <c r="G29" s="9" t="n"/>
    </row>
    <row r="30" ht="14.15" customHeight="1">
      <c r="A30" s="18" t="n">
        <v>15</v>
      </c>
      <c r="B30" s="8" t="inlineStr">
        <is>
          <t>Hand wash Sink</t>
        </is>
      </c>
      <c r="C30" s="9" t="n">
        <v>1</v>
      </c>
      <c r="D30" s="9" t="n">
        <v>0</v>
      </c>
      <c r="E30" s="9" t="n">
        <v>5</v>
      </c>
      <c r="F30" s="9">
        <f>IFERROR(MIN(C30,D30)*E30/C30,0)</f>
        <v/>
      </c>
      <c r="G30" s="9" t="n"/>
    </row>
    <row r="31" ht="14.15" customHeight="1">
      <c r="A31" s="18" t="n">
        <v>16</v>
      </c>
      <c r="B31" s="8" t="inlineStr">
        <is>
          <t>Frying pan (24cm)</t>
        </is>
      </c>
      <c r="C31" s="9" t="n">
        <v>12</v>
      </c>
      <c r="D31" s="9" t="n">
        <v>0</v>
      </c>
      <c r="E31" s="9" t="n">
        <v>4</v>
      </c>
      <c r="F31" s="9">
        <f>IFERROR(MIN(C31,D31)*E31/C31,0)</f>
        <v/>
      </c>
      <c r="G31" s="9" t="n"/>
    </row>
    <row r="32" ht="14.15" customHeight="1">
      <c r="A32" s="18" t="n">
        <v>17</v>
      </c>
      <c r="B32" s="8" t="inlineStr">
        <is>
          <t>Cooking pan (medium size)</t>
        </is>
      </c>
      <c r="C32" s="9" t="n">
        <v>12</v>
      </c>
      <c r="D32" s="9" t="n">
        <v>0</v>
      </c>
      <c r="E32" s="9" t="n">
        <v>4</v>
      </c>
      <c r="F32" s="9">
        <f>IFERROR(MIN(C32,D32)*E32/C32,0)</f>
        <v/>
      </c>
      <c r="G32" s="9" t="n"/>
    </row>
    <row r="33" ht="14.15" customHeight="1">
      <c r="A33" s="18" t="n">
        <v>18</v>
      </c>
      <c r="B33" s="8" t="inlineStr">
        <is>
          <t>Weighing Scale (Preferred capacity 10 kg)</t>
        </is>
      </c>
      <c r="C33" s="9" t="n">
        <v>1</v>
      </c>
      <c r="D33" s="9" t="n">
        <v>0</v>
      </c>
      <c r="E33" s="9" t="n">
        <v>4</v>
      </c>
      <c r="F33" s="9">
        <f>IFERROR(MIN(C33,D33)*E33/C33,0)</f>
        <v/>
      </c>
      <c r="G33" s="9" t="n"/>
    </row>
    <row r="34" ht="14.15" customHeight="1">
      <c r="A34" s="18" t="n">
        <v>19</v>
      </c>
      <c r="B34" s="8" t="inlineStr">
        <is>
          <t>Weighing Scale (Preferred capacity 5 kg)</t>
        </is>
      </c>
      <c r="C34" s="9" t="n">
        <v>5</v>
      </c>
      <c r="D34" s="9" t="n">
        <v>0</v>
      </c>
      <c r="E34" s="9" t="n">
        <v>4</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2"/>
    <row r="3">
      <c r="A3" s="2" t="inlineStr">
        <is>
          <t>Course Name:</t>
        </is>
      </c>
      <c r="B3" s="2" t="inlineStr">
        <is>
          <t>Digital Marketing, Freelancing and Entrepreneurship Development</t>
        </is>
      </c>
    </row>
    <row r="4" ht="26.85" customHeight="1">
      <c r="A4" s="2" t="inlineStr">
        <is>
          <t>Number of Trainees:</t>
        </is>
      </c>
      <c r="B4" s="2" t="n">
        <v>25</v>
      </c>
    </row>
    <row r="5"/>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Digital Marketing, Freelancing and Entrepreneurship Development</t>
        </is>
      </c>
      <c r="C8" s="4" t="inlineStr">
        <is>
          <t>Classroom – 350 sft (33 sqm)
lab size – 500 sft (47 sqm)
OR
Classroom cum workshop – 500 sft (47 sqm)</t>
        </is>
      </c>
      <c r="D8" s="11" t="n"/>
      <c r="E8" s="11" t="n"/>
      <c r="F8" s="11" t="n"/>
      <c r="G8" s="12" t="n"/>
    </row>
    <row r="9"/>
    <row r="10"/>
    <row r="11">
      <c r="A11" s="3" t="inlineStr">
        <is>
          <t>Major Training Equipment and Training Facilities</t>
        </is>
      </c>
    </row>
    <row r="12"/>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Digital Marketing, Freelancing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4"/>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t>
        </is>
      </c>
      <c r="C16" s="9" t="n">
        <v>1</v>
      </c>
      <c r="D16" s="9" t="n">
        <v>0</v>
      </c>
      <c r="E16" s="9" t="n">
        <v>8</v>
      </c>
      <c r="F16" s="9">
        <f>IFERROR(MIN(C16,D16)*E16/C16,0)</f>
        <v/>
      </c>
      <c r="G16" s="9" t="n"/>
    </row>
    <row r="17" ht="14.15" customHeight="1">
      <c r="A17" s="18" t="n">
        <v>2</v>
      </c>
      <c r="B17" s="8" t="inlineStr">
        <is>
          <t>Printer</t>
        </is>
      </c>
      <c r="C17" s="9" t="n">
        <v>1</v>
      </c>
      <c r="D17" s="9" t="n">
        <v>0</v>
      </c>
      <c r="E17" s="9" t="n">
        <v>6</v>
      </c>
      <c r="F17" s="9">
        <f>IFERROR(MIN(C17,D17)*E17/C17,0)</f>
        <v/>
      </c>
      <c r="G17" s="9" t="n"/>
    </row>
    <row r="18" ht="14.15" customHeight="1">
      <c r="A18" s="18" t="n">
        <v>3</v>
      </c>
      <c r="B18" s="8" t="inlineStr">
        <is>
          <t>Scanner</t>
        </is>
      </c>
      <c r="C18" s="9" t="n">
        <v>1</v>
      </c>
      <c r="D18" s="9" t="n">
        <v>0</v>
      </c>
      <c r="E18" s="9" t="n">
        <v>6</v>
      </c>
      <c r="F18" s="9">
        <f>IFERROR(MIN(C18,D18)*E18/C18,0)</f>
        <v/>
      </c>
      <c r="G18" s="9" t="n"/>
    </row>
    <row r="19" ht="14.15" customHeight="1">
      <c r="A19" s="18" t="n">
        <v>4</v>
      </c>
      <c r="B19" s="8" t="inlineStr">
        <is>
          <t>Computers/Laptop: (Minimum Intel core i5 or Intel core i3 6 gen/above, or AMD Ryzen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8"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8" t="n">
        <v>6</v>
      </c>
      <c r="B21" s="8" t="inlineStr">
        <is>
          <t>Tools: 
Office application, photo editing software and video editing software, SEO Tools, Social Media Management, Email Marketing, Content Creation, CRM, Data Entry, Affiliate Marketing, bid for job, ad campaigns</t>
        </is>
      </c>
      <c r="C21" s="9" t="n">
        <v>6</v>
      </c>
      <c r="D21" s="9" t="n">
        <v>0</v>
      </c>
      <c r="E21" s="9" t="n">
        <v>8</v>
      </c>
      <c r="F21" s="9">
        <f>IFERROR(MIN(C21,D21)*E21/C21,0)</f>
        <v/>
      </c>
      <c r="G21" s="9" t="n"/>
    </row>
    <row r="22" ht="14.15" customHeight="1">
      <c r="A22" s="18" t="n">
        <v>7</v>
      </c>
      <c r="B22" s="8" t="inlineStr">
        <is>
          <t>Ergonomic chairs and desks</t>
        </is>
      </c>
      <c r="C22" s="9" t="n">
        <v>25</v>
      </c>
      <c r="D22" s="9" t="n">
        <v>0</v>
      </c>
      <c r="E22" s="9" t="n">
        <v>5</v>
      </c>
      <c r="F22" s="9">
        <f>IFERROR(MIN(C22,D22)*E22/C22,0)</f>
        <v/>
      </c>
      <c r="G22" s="9" t="n"/>
    </row>
    <row r="23" ht="14.15" customHeight="1">
      <c r="A23" s="18" t="n">
        <v>8</v>
      </c>
      <c r="B23" s="8" t="inlineStr">
        <is>
          <t>Internet connectivity (Minimum 10 Mbps) with power back-up (at least 01 hour)</t>
        </is>
      </c>
      <c r="C23" s="9" t="n">
        <v>1</v>
      </c>
      <c r="D23" s="9" t="n">
        <v>0</v>
      </c>
      <c r="E23" s="9" t="n">
        <v>8</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2"/>
    <row r="3">
      <c r="A3" s="2" t="inlineStr">
        <is>
          <t>Course Name:</t>
        </is>
      </c>
      <c r="B3" s="2" t="inlineStr">
        <is>
          <t>Graphic Design ad Entrepreneurship Development</t>
        </is>
      </c>
    </row>
    <row r="4" ht="26.85" customHeight="1">
      <c r="A4" s="2" t="inlineStr">
        <is>
          <t>Number of Trainees:</t>
        </is>
      </c>
      <c r="B4" s="2" t="n">
        <v>25</v>
      </c>
    </row>
    <row r="5"/>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Design ad Entrepreneurship Development</t>
        </is>
      </c>
      <c r="C8" s="4" t="inlineStr">
        <is>
          <t>Classroom – 350 sft (33 sqm)
lab size – 500 sft (47 sqm)
OR
Classroom cum workshop – 500 sft (47 sqm)</t>
        </is>
      </c>
      <c r="D8" s="11" t="n"/>
      <c r="E8" s="11" t="n"/>
      <c r="F8" s="11" t="n"/>
      <c r="G8" s="12" t="n"/>
    </row>
    <row r="9"/>
    <row r="10"/>
    <row r="11">
      <c r="A11" s="3" t="inlineStr">
        <is>
          <t>Major Training Equipment and Training Facilities</t>
        </is>
      </c>
    </row>
    <row r="12"/>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Design ad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4"/>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Laptop/ Desktop (Minimum Intel core i5 or Intel core i3 8 gen/above, or AMD Ryzen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8" t="n">
        <v>2</v>
      </c>
      <c r="B17" s="8" t="inlineStr">
        <is>
          <t>Power Backup (at least 01 hour)</t>
        </is>
      </c>
      <c r="C17" s="9" t="n">
        <v>26</v>
      </c>
      <c r="D17" s="9" t="n">
        <v>0</v>
      </c>
      <c r="E17" s="9" t="n">
        <v>6</v>
      </c>
      <c r="F17" s="9">
        <f>IFERROR(MIN(C17,D17)*E17/C17,0)</f>
        <v/>
      </c>
      <c r="G17" s="9" t="n"/>
    </row>
    <row r="18" ht="14.15" customHeight="1">
      <c r="A18" s="18" t="n">
        <v>3</v>
      </c>
      <c r="B18" s="8" t="inlineStr">
        <is>
          <t>Color Printer</t>
        </is>
      </c>
      <c r="C18" s="9" t="n">
        <v>1</v>
      </c>
      <c r="D18" s="9" t="n">
        <v>0</v>
      </c>
      <c r="E18" s="9" t="n">
        <v>6</v>
      </c>
      <c r="F18" s="9">
        <f>IFERROR(MIN(C18,D18)*E18/C18,0)</f>
        <v/>
      </c>
      <c r="G18" s="9" t="n"/>
    </row>
    <row r="19" ht="14.15" customHeight="1">
      <c r="A19" s="18" t="n">
        <v>4</v>
      </c>
      <c r="B19" s="8" t="inlineStr">
        <is>
          <t>Scanner</t>
        </is>
      </c>
      <c r="C19" s="9" t="n">
        <v>1</v>
      </c>
      <c r="D19" s="9" t="n">
        <v>0</v>
      </c>
      <c r="E19" s="9" t="n">
        <v>6</v>
      </c>
      <c r="F19" s="9">
        <f>IFERROR(MIN(C19,D19)*E19/C19,0)</f>
        <v/>
      </c>
      <c r="G19" s="9" t="n"/>
    </row>
    <row r="20" ht="14.15" customHeight="1">
      <c r="A20" s="18" t="n">
        <v>5</v>
      </c>
      <c r="B20" s="8" t="inlineStr">
        <is>
          <t>Projector or Large Display Screen</t>
        </is>
      </c>
      <c r="C20" s="9" t="n">
        <v>1</v>
      </c>
      <c r="D20" s="9" t="n">
        <v>0</v>
      </c>
      <c r="E20" s="9" t="n">
        <v>6</v>
      </c>
      <c r="F20" s="9">
        <f>IFERROR(MIN(C20,D20)*E20/C20,0)</f>
        <v/>
      </c>
      <c r="G20" s="9" t="n"/>
    </row>
    <row r="21" ht="14.15" customHeight="1">
      <c r="A21" s="18" t="n">
        <v>6</v>
      </c>
      <c r="B21" s="8" t="inlineStr">
        <is>
          <t>White board</t>
        </is>
      </c>
      <c r="C21" s="9" t="n">
        <v>1</v>
      </c>
      <c r="D21" s="9" t="n">
        <v>0</v>
      </c>
      <c r="E21" s="9" t="n">
        <v>4</v>
      </c>
      <c r="F21" s="9">
        <f>IFERROR(MIN(C21,D21)*E21/C21,0)</f>
        <v/>
      </c>
      <c r="G21" s="9" t="n"/>
    </row>
    <row r="22" ht="14.15" customHeight="1">
      <c r="A22" s="18" t="n">
        <v>7</v>
      </c>
      <c r="B22" s="8" t="inlineStr">
        <is>
          <t>Sound speaker and microphone</t>
        </is>
      </c>
      <c r="C22" s="9" t="n">
        <v>1</v>
      </c>
      <c r="D22" s="9" t="n">
        <v>0</v>
      </c>
      <c r="E22" s="9" t="n">
        <v>4</v>
      </c>
      <c r="F22" s="9">
        <f>IFERROR(MIN(C22,D22)*E22/C22,0)</f>
        <v/>
      </c>
      <c r="G22" s="9" t="n"/>
    </row>
    <row r="23" ht="14.15" customHeight="1">
      <c r="A23" s="18" t="n">
        <v>8</v>
      </c>
      <c r="B23" s="8" t="inlineStr">
        <is>
          <t>Ergonomic chairs and desks (Plastic chairs/stool not acceptable)</t>
        </is>
      </c>
      <c r="C23" s="9" t="n">
        <v>26</v>
      </c>
      <c r="D23" s="9" t="n">
        <v>0</v>
      </c>
      <c r="E23" s="9" t="n">
        <v>5</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 and Entrepreneurship Development (Residential)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 and Entrepreneurship Development (Residential)</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and Entrepreneurship Development (Residential),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 with screen</t>
        </is>
      </c>
      <c r="C17" s="9" t="n">
        <v>1</v>
      </c>
      <c r="D17" s="9" t="n">
        <v>0</v>
      </c>
      <c r="E17" s="9" t="n">
        <v>5</v>
      </c>
      <c r="F17" s="9">
        <f>IFERROR(MIN(C17,D17)*E17/C17,0)</f>
        <v/>
      </c>
      <c r="G17" s="9" t="n"/>
    </row>
    <row r="18" ht="14.15" customHeight="1">
      <c r="A18" s="18" t="n">
        <v>3</v>
      </c>
      <c r="B18" s="8" t="inlineStr">
        <is>
          <t>Internet connectivity</t>
        </is>
      </c>
      <c r="C18" s="9" t="n">
        <v>1</v>
      </c>
      <c r="D18" s="9" t="n">
        <v>0</v>
      </c>
      <c r="E18" s="9" t="n">
        <v>5</v>
      </c>
      <c r="F18" s="9">
        <f>IFERROR(MIN(C18,D18)*E18/C18,0)</f>
        <v/>
      </c>
      <c r="G18" s="9" t="n"/>
    </row>
    <row r="19" ht="14.15" customHeight="1">
      <c r="A19" s="18" t="n">
        <v>4</v>
      </c>
      <c r="B19" s="8" t="inlineStr">
        <is>
          <t>Hair cutting chair</t>
        </is>
      </c>
      <c r="C19" s="9" t="n">
        <v>5</v>
      </c>
      <c r="D19" s="9" t="n">
        <v>0</v>
      </c>
      <c r="E19" s="9" t="n">
        <v>8</v>
      </c>
      <c r="F19" s="9">
        <f>IFERROR(MIN(C19,D19)*E19/C19,0)</f>
        <v/>
      </c>
      <c r="G19" s="9" t="n"/>
    </row>
    <row r="20" ht="14.15" customHeight="1">
      <c r="A20" s="18" t="n">
        <v>5</v>
      </c>
      <c r="B20" s="8" t="inlineStr">
        <is>
          <t>Facial bed</t>
        </is>
      </c>
      <c r="C20" s="9" t="n">
        <v>5</v>
      </c>
      <c r="D20" s="9" t="n">
        <v>0</v>
      </c>
      <c r="E20" s="9" t="n">
        <v>8</v>
      </c>
      <c r="F20" s="9">
        <f>IFERROR(MIN(C20,D20)*E20/C20,0)</f>
        <v/>
      </c>
      <c r="G20" s="9" t="n"/>
    </row>
    <row r="21" ht="14.15" customHeight="1">
      <c r="A21" s="18" t="n">
        <v>6</v>
      </c>
      <c r="B21" s="8" t="inlineStr">
        <is>
          <t>Manicure and pedicure table</t>
        </is>
      </c>
      <c r="C21" s="9" t="n">
        <v>5</v>
      </c>
      <c r="D21" s="9" t="n">
        <v>0</v>
      </c>
      <c r="E21" s="9" t="n">
        <v>8</v>
      </c>
      <c r="F21" s="9">
        <f>IFERROR(MIN(C21,D21)*E21/C21,0)</f>
        <v/>
      </c>
      <c r="G21" s="9" t="n"/>
    </row>
    <row r="22" ht="14.15" customHeight="1">
      <c r="A22" s="18" t="n">
        <v>7</v>
      </c>
      <c r="B22" s="8" t="inlineStr">
        <is>
          <t>Threading chair</t>
        </is>
      </c>
      <c r="C22" s="9" t="n">
        <v>5</v>
      </c>
      <c r="D22" s="9" t="n">
        <v>0</v>
      </c>
      <c r="E22" s="9" t="n">
        <v>7</v>
      </c>
      <c r="F22" s="9">
        <f>IFERROR(MIN(C22,D22)*E22/C22,0)</f>
        <v/>
      </c>
      <c r="G22" s="9" t="n"/>
    </row>
    <row r="23" ht="14.15" customHeight="1">
      <c r="A23" s="18" t="n">
        <v>8</v>
      </c>
      <c r="B23" s="8" t="inlineStr">
        <is>
          <t>Shampoo bed</t>
        </is>
      </c>
      <c r="C23" s="9" t="n">
        <v>2</v>
      </c>
      <c r="D23" s="9" t="n">
        <v>0</v>
      </c>
      <c r="E23" s="9" t="n">
        <v>7</v>
      </c>
      <c r="F23" s="9">
        <f>IFERROR(MIN(C23,D23)*E23/C23,0)</f>
        <v/>
      </c>
      <c r="G23" s="9" t="n"/>
    </row>
    <row r="24" ht="14.15" customHeight="1">
      <c r="A24" s="18" t="n">
        <v>9</v>
      </c>
      <c r="B24" s="8" t="inlineStr">
        <is>
          <t>Steam machine (face)</t>
        </is>
      </c>
      <c r="C24" s="9" t="n">
        <v>5</v>
      </c>
      <c r="D24" s="9" t="n">
        <v>0</v>
      </c>
      <c r="E24" s="9" t="n">
        <v>8</v>
      </c>
      <c r="F24" s="9">
        <f>IFERROR(MIN(C24,D24)*E24/C24,0)</f>
        <v/>
      </c>
      <c r="G24" s="9" t="n"/>
    </row>
    <row r="25" ht="14.15" customHeight="1">
      <c r="A25" s="18" t="n">
        <v>10</v>
      </c>
      <c r="B25" s="8" t="inlineStr">
        <is>
          <t>Steam machine (hair)</t>
        </is>
      </c>
      <c r="C25" s="9" t="n">
        <v>2</v>
      </c>
      <c r="D25" s="9" t="n">
        <v>0</v>
      </c>
      <c r="E25" s="9" t="n">
        <v>8</v>
      </c>
      <c r="F25" s="9">
        <f>IFERROR(MIN(C25,D25)*E25/C25,0)</f>
        <v/>
      </c>
      <c r="G25" s="9" t="n"/>
    </row>
    <row r="26" ht="14.15" customHeight="1">
      <c r="A26" s="18" t="n">
        <v>11</v>
      </c>
      <c r="B26" s="8" t="inlineStr">
        <is>
          <t>Hair dryer</t>
        </is>
      </c>
      <c r="C26" s="9" t="n">
        <v>5</v>
      </c>
      <c r="D26" s="9" t="n">
        <v>0</v>
      </c>
      <c r="E26" s="9" t="n">
        <v>7</v>
      </c>
      <c r="F26" s="9">
        <f>IFERROR(MIN(C26,D26)*E26/C26,0)</f>
        <v/>
      </c>
      <c r="G26" s="9" t="n"/>
    </row>
    <row r="27" ht="14.15" customHeight="1">
      <c r="A27" s="18" t="n">
        <v>12</v>
      </c>
      <c r="B27" s="8" t="inlineStr">
        <is>
          <t>Hair straightener</t>
        </is>
      </c>
      <c r="C27" s="9" t="n">
        <v>5</v>
      </c>
      <c r="D27" s="9" t="n">
        <v>0</v>
      </c>
      <c r="E27" s="9" t="n">
        <v>7</v>
      </c>
      <c r="F27" s="9">
        <f>IFERROR(MIN(C27,D27)*E27/C27,0)</f>
        <v/>
      </c>
      <c r="G27" s="9" t="n"/>
    </row>
    <row r="28" ht="14.15" customHeight="1">
      <c r="A28" s="18" t="n">
        <v>13</v>
      </c>
      <c r="B28" s="8" t="inlineStr">
        <is>
          <t>Curl/tong</t>
        </is>
      </c>
      <c r="C28" s="9" t="n">
        <v>5</v>
      </c>
      <c r="D28" s="9" t="n">
        <v>0</v>
      </c>
      <c r="E28" s="9" t="n">
        <v>6</v>
      </c>
      <c r="F28" s="9">
        <f>IFERROR(MIN(C28,D28)*E28/C28,0)</f>
        <v/>
      </c>
      <c r="G28" s="9" t="n"/>
    </row>
    <row r="29" ht="14.15" customHeight="1">
      <c r="A29" s="18" t="n">
        <v>14</v>
      </c>
      <c r="B29" s="8" t="inlineStr">
        <is>
          <t>Scissors</t>
        </is>
      </c>
      <c r="C29" s="9" t="n">
        <v>25</v>
      </c>
      <c r="D29" s="9" t="n">
        <v>0</v>
      </c>
      <c r="E29" s="9" t="n">
        <v>4</v>
      </c>
      <c r="F29" s="9">
        <f>IFERROR(MIN(C29,D29)*E29/C29,0)</f>
        <v/>
      </c>
      <c r="G29" s="9" t="n"/>
    </row>
    <row r="30" ht="14.15" customHeight="1">
      <c r="A30" s="18" t="n">
        <v>15</v>
      </c>
      <c r="B30" s="8" t="inlineStr">
        <is>
          <t>Crimper</t>
        </is>
      </c>
      <c r="C30" s="9" t="n">
        <v>2</v>
      </c>
      <c r="D30" s="9" t="n">
        <v>0</v>
      </c>
      <c r="E30" s="9" t="n">
        <v>6</v>
      </c>
      <c r="F30" s="9">
        <f>IFERROR(MIN(C30,D30)*E30/C30,0)</f>
        <v/>
      </c>
      <c r="G30" s="9" t="n"/>
    </row>
    <row r="31" ht="14.15" customHeight="1">
      <c r="A31" s="18" t="n">
        <v>16</v>
      </c>
      <c r="B31" s="8" t="inlineStr">
        <is>
          <t>Facial machine (3 in one)</t>
        </is>
      </c>
      <c r="C31" s="9" t="n">
        <v>2</v>
      </c>
      <c r="D31" s="9" t="n">
        <v>0</v>
      </c>
      <c r="E31" s="9" t="n">
        <v>9</v>
      </c>
      <c r="F31" s="9">
        <f>IFERROR(MIN(C31,D31)*E31/C31,0)</f>
        <v/>
      </c>
      <c r="G31" s="9" t="n"/>
    </row>
    <row r="32" ht="14.15" customHeight="1">
      <c r="A32" s="18" t="n">
        <v>17</v>
      </c>
      <c r="B32" s="8" t="inlineStr">
        <is>
          <t>Wax heater</t>
        </is>
      </c>
      <c r="C32" s="9" t="n">
        <v>5</v>
      </c>
      <c r="D32" s="9" t="n">
        <v>0</v>
      </c>
      <c r="E32" s="9" t="n">
        <v>7</v>
      </c>
      <c r="F32" s="9">
        <f>IFERROR(MIN(C32,D32)*E32/C32,0)</f>
        <v/>
      </c>
      <c r="G32" s="9" t="n"/>
    </row>
    <row r="33" ht="14.15" customHeight="1">
      <c r="A33" s="18" t="n">
        <v>18</v>
      </c>
      <c r="B33" s="8" t="inlineStr">
        <is>
          <t>Piercing gun</t>
        </is>
      </c>
      <c r="C33" s="9" t="n">
        <v>2</v>
      </c>
      <c r="D33" s="9" t="n">
        <v>0</v>
      </c>
      <c r="E33" s="9" t="n">
        <v>6</v>
      </c>
      <c r="F33" s="9">
        <f>IFERROR(MIN(C33,D33)*E33/C33,0)</f>
        <v/>
      </c>
      <c r="G33" s="9" t="n"/>
    </row>
    <row r="34">
      <c r="A34" s="19" t="inlineStr">
        <is>
          <t>Sum</t>
        </is>
      </c>
      <c r="B34" s="11" t="n"/>
      <c r="C34" s="11" t="n"/>
      <c r="D34" s="12" t="n"/>
      <c r="E34" s="19">
        <f>SUM(E16:E33)</f>
        <v/>
      </c>
      <c r="F34" s="19">
        <f>SUM(F16:F33)</f>
        <v/>
      </c>
      <c r="G34" s="13" t="n"/>
    </row>
    <row r="35">
      <c r="A35" s="19" t="inlineStr">
        <is>
          <t>Score out of 100</t>
        </is>
      </c>
      <c r="B35" s="11" t="n"/>
      <c r="C35" s="11" t="n"/>
      <c r="D35" s="11" t="n"/>
      <c r="E35" s="12" t="n"/>
      <c r="F35" s="19">
        <f>F34/E34*100</f>
        <v/>
      </c>
      <c r="G35" s="13" t="n"/>
    </row>
    <row r="36" ht="9.75" customHeight="1"/>
    <row r="37">
      <c r="A37" s="19" t="inlineStr">
        <is>
          <t xml:space="preserve">Total achieved points out of 30  </t>
        </is>
      </c>
      <c r="B37" s="11" t="n"/>
      <c r="C37" s="11" t="n"/>
      <c r="D37" s="11" t="n"/>
      <c r="E37" s="12" t="n"/>
      <c r="F37" s="19">
        <f>F35*30/100</f>
        <v/>
      </c>
      <c r="G37" s="19"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Design, Product Development and Entrepreneurship (Residential)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Design, Product Development and Entrepreneurship (Residential)</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Design, Product Development and Entrepreneurship (Residential),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 / Laptop (with relevant design software)</t>
        </is>
      </c>
      <c r="C16" s="9" t="n">
        <v>5</v>
      </c>
      <c r="D16" s="9" t="n">
        <v>0</v>
      </c>
      <c r="E16" s="9" t="n">
        <v>5</v>
      </c>
      <c r="F16" s="9">
        <f>IFERROR(MIN(C16,D16)*E16/C16,0)</f>
        <v/>
      </c>
      <c r="G16" s="9" t="n"/>
    </row>
    <row r="17" ht="14.15" customHeight="1">
      <c r="A17" s="18" t="n">
        <v>2</v>
      </c>
      <c r="B17" s="8" t="inlineStr">
        <is>
          <t>Multimedia Projector &amp; Screen (HD quality, HDMI support)</t>
        </is>
      </c>
      <c r="C17" s="9" t="n">
        <v>1</v>
      </c>
      <c r="D17" s="9" t="n">
        <v>0</v>
      </c>
      <c r="E17" s="9" t="n">
        <v>5</v>
      </c>
      <c r="F17" s="9">
        <f>IFERROR(MIN(C17,D17)*E17/C17,0)</f>
        <v/>
      </c>
      <c r="G17" s="9" t="n"/>
    </row>
    <row r="18" ht="14.15" customHeight="1">
      <c r="A18" s="18" t="n">
        <v>3</v>
      </c>
      <c r="B18" s="8" t="inlineStr">
        <is>
          <t>Printer</t>
        </is>
      </c>
      <c r="C18" s="9" t="n">
        <v>1</v>
      </c>
      <c r="D18" s="9" t="n">
        <v>0</v>
      </c>
      <c r="E18" s="9" t="n">
        <v>5</v>
      </c>
      <c r="F18" s="9">
        <f>IFERROR(MIN(C18,D18)*E18/C18,0)</f>
        <v/>
      </c>
      <c r="G18" s="9" t="n"/>
    </row>
    <row r="19" ht="14.15" customHeight="1">
      <c r="A19" s="18" t="n">
        <v>4</v>
      </c>
      <c r="B19" s="8" t="inlineStr">
        <is>
          <t>Single Needle Lock Stitch Machine (Industrial/Domestic)</t>
        </is>
      </c>
      <c r="C19" s="9" t="n">
        <v>25</v>
      </c>
      <c r="D19" s="9" t="n">
        <v>0</v>
      </c>
      <c r="E19" s="9" t="n">
        <v>10</v>
      </c>
      <c r="F19" s="9">
        <f>IFERROR(MIN(C19,D19)*E19/C19,0)</f>
        <v/>
      </c>
      <c r="G19" s="9" t="n"/>
    </row>
    <row r="20" ht="14.15" customHeight="1">
      <c r="A20" s="18" t="n">
        <v>5</v>
      </c>
      <c r="B20" s="8" t="inlineStr">
        <is>
          <t>Overlock Machine (3 or 4 threads)</t>
        </is>
      </c>
      <c r="C20" s="9" t="n">
        <v>2</v>
      </c>
      <c r="D20" s="9" t="n">
        <v>0</v>
      </c>
      <c r="E20" s="9" t="n">
        <v>9</v>
      </c>
      <c r="F20" s="9">
        <f>IFERROR(MIN(C20,D20)*E20/C20,0)</f>
        <v/>
      </c>
      <c r="G20" s="9" t="n"/>
    </row>
    <row r="21" ht="14.15" customHeight="1">
      <c r="A21" s="18" t="n">
        <v>6</v>
      </c>
      <c r="B21" s="8" t="inlineStr">
        <is>
          <t>Embroidery Machine (Manual/Computerized)</t>
        </is>
      </c>
      <c r="C21" s="9" t="n">
        <v>1</v>
      </c>
      <c r="D21" s="9" t="n">
        <v>0</v>
      </c>
      <c r="E21" s="9" t="n">
        <v>7</v>
      </c>
      <c r="F21" s="9">
        <f>IFERROR(MIN(C21,D21)*E21/C21,0)</f>
        <v/>
      </c>
      <c r="G21" s="9" t="n"/>
    </row>
    <row r="22" ht="14.15" customHeight="1">
      <c r="A22" s="18" t="n">
        <v>7</v>
      </c>
      <c r="B22" s="8" t="inlineStr">
        <is>
          <t>Button Hole Machine</t>
        </is>
      </c>
      <c r="C22" s="9" t="n">
        <v>1</v>
      </c>
      <c r="D22" s="9" t="n">
        <v>0</v>
      </c>
      <c r="E22" s="9" t="n">
        <v>6</v>
      </c>
      <c r="F22" s="9">
        <f>IFERROR(MIN(C22,D22)*E22/C22,0)</f>
        <v/>
      </c>
      <c r="G22" s="9" t="n"/>
    </row>
    <row r="23" ht="14.15" customHeight="1">
      <c r="A23" s="18" t="n">
        <v>8</v>
      </c>
      <c r="B23" s="8" t="inlineStr">
        <is>
          <t>Button Stitch Machine</t>
        </is>
      </c>
      <c r="C23" s="9" t="n">
        <v>1</v>
      </c>
      <c r="D23" s="9" t="n">
        <v>0</v>
      </c>
      <c r="E23" s="9" t="n">
        <v>6</v>
      </c>
      <c r="F23" s="9">
        <f>IFERROR(MIN(C23,D23)*E23/C23,0)</f>
        <v/>
      </c>
      <c r="G23" s="9" t="n"/>
    </row>
    <row r="24" ht="14.15" customHeight="1">
      <c r="A24" s="18" t="n">
        <v>9</v>
      </c>
      <c r="B24" s="8" t="inlineStr">
        <is>
          <t>Cutting Table (Standard size: min. 5ft - 60”x50”)</t>
        </is>
      </c>
      <c r="C24" s="9" t="n">
        <v>2</v>
      </c>
      <c r="D24" s="9" t="n">
        <v>0</v>
      </c>
      <c r="E24" s="9" t="n">
        <v>7</v>
      </c>
      <c r="F24" s="9">
        <f>IFERROR(MIN(C24,D24)*E24/C24,0)</f>
        <v/>
      </c>
      <c r="G24" s="9" t="n"/>
    </row>
    <row r="25" ht="14.15" customHeight="1">
      <c r="A25" s="18" t="n">
        <v>10</v>
      </c>
      <c r="B25" s="8" t="inlineStr">
        <is>
          <t>Pattern Making &amp; Printing Table (Min 5ft)</t>
        </is>
      </c>
      <c r="C25" s="9" t="n">
        <v>3</v>
      </c>
      <c r="D25" s="9" t="n">
        <v>0</v>
      </c>
      <c r="E25" s="9" t="n">
        <v>6</v>
      </c>
      <c r="F25" s="9">
        <f>IFERROR(MIN(C25,D25)*E25/C25,0)</f>
        <v/>
      </c>
      <c r="G25" s="9" t="n"/>
    </row>
    <row r="26" ht="14.15" customHeight="1">
      <c r="A26" s="18" t="n">
        <v>11</v>
      </c>
      <c r="B26" s="8" t="inlineStr">
        <is>
          <t>Mannequins / Dress Forms (Male, Female, and Child standard sizes)</t>
        </is>
      </c>
      <c r="C26" s="9" t="n">
        <v>5</v>
      </c>
      <c r="D26" s="9" t="n">
        <v>0</v>
      </c>
      <c r="E26" s="9" t="n">
        <v>9</v>
      </c>
      <c r="F26" s="9">
        <f>IFERROR(MIN(C26,D26)*E26/C26,0)</f>
        <v/>
      </c>
      <c r="G26" s="9" t="n"/>
    </row>
    <row r="27" ht="14.15" customHeight="1">
      <c r="A27" s="18" t="n">
        <v>12</v>
      </c>
      <c r="B27" s="8" t="inlineStr">
        <is>
          <t>Electric Steam Iron with Ironing Table</t>
        </is>
      </c>
      <c r="C27" s="9" t="n">
        <v>1</v>
      </c>
      <c r="D27" s="9" t="n">
        <v>0</v>
      </c>
      <c r="E27" s="9" t="n">
        <v>6</v>
      </c>
      <c r="F27" s="9">
        <f>IFERROR(MIN(C27,D27)*E27/C27,0)</f>
        <v/>
      </c>
      <c r="G27" s="9" t="n"/>
    </row>
    <row r="28" ht="14.15" customHeight="1">
      <c r="A28" s="18" t="n">
        <v>13</v>
      </c>
      <c r="B28" s="8" t="inlineStr">
        <is>
          <t>Burner for Dyeing and Printing</t>
        </is>
      </c>
      <c r="C28" s="9" t="n">
        <v>2</v>
      </c>
      <c r="D28" s="9" t="n">
        <v>0</v>
      </c>
      <c r="E28" s="9" t="n">
        <v>5</v>
      </c>
      <c r="F28" s="9">
        <f>IFERROR(MIN(C28,D28)*E28/C28,0)</f>
        <v/>
      </c>
      <c r="G28" s="9" t="n"/>
    </row>
    <row r="29" ht="14.15" customHeight="1">
      <c r="A29" s="18" t="n">
        <v>14</v>
      </c>
      <c r="B29" s="8" t="inlineStr">
        <is>
          <t>Tracing Wheels</t>
        </is>
      </c>
      <c r="C29" s="9" t="n">
        <v>25</v>
      </c>
      <c r="D29" s="9" t="n">
        <v>0</v>
      </c>
      <c r="E29" s="9" t="n">
        <v>4</v>
      </c>
      <c r="F29" s="9">
        <f>IFERROR(MIN(C29,D29)*E29/C29,0)</f>
        <v/>
      </c>
      <c r="G29" s="9" t="n"/>
    </row>
    <row r="30" ht="14.15" customHeight="1">
      <c r="A30" s="18" t="n">
        <v>15</v>
      </c>
      <c r="B30" s="8" t="inlineStr">
        <is>
          <t>Sets of Pattern Making Curves (French curve, Hip curve, etc.)</t>
        </is>
      </c>
      <c r="C30" s="9" t="n">
        <v>25</v>
      </c>
      <c r="D30" s="9" t="n">
        <v>0</v>
      </c>
      <c r="E30" s="9" t="n">
        <v>4</v>
      </c>
      <c r="F30" s="9">
        <f>IFERROR(MIN(C30,D30)*E30/C30,0)</f>
        <v/>
      </c>
      <c r="G30" s="9" t="n"/>
    </row>
    <row r="31" ht="14.15" customHeight="1">
      <c r="A31" s="18" t="n">
        <v>16</v>
      </c>
      <c r="B31" s="8" t="inlineStr">
        <is>
          <t>Fabric Cutting Scissors (10”-12”)</t>
        </is>
      </c>
      <c r="C31" s="9" t="n">
        <v>25</v>
      </c>
      <c r="D31" s="9" t="n">
        <v>0</v>
      </c>
      <c r="E31" s="9" t="n">
        <v>4</v>
      </c>
      <c r="F31" s="9">
        <f>IFERROR(MIN(C31,D31)*E31/C31,0)</f>
        <v/>
      </c>
      <c r="G31" s="9" t="n"/>
    </row>
    <row r="32" ht="14.15" customHeight="1">
      <c r="A32" s="18" t="n">
        <v>17</v>
      </c>
      <c r="B32" s="8" t="inlineStr">
        <is>
          <t>Different Screen for Printing</t>
        </is>
      </c>
      <c r="C32" s="9" t="n">
        <v>10</v>
      </c>
      <c r="D32" s="9" t="n">
        <v>0</v>
      </c>
      <c r="E32" s="9" t="n">
        <v>5</v>
      </c>
      <c r="F32" s="9">
        <f>IFERROR(MIN(C32,D32)*E32/C32,0)</f>
        <v/>
      </c>
      <c r="G32" s="9" t="n"/>
    </row>
    <row r="33" ht="14.15" customHeight="1">
      <c r="A33" s="18" t="n">
        <v>18</v>
      </c>
      <c r="B33" s="8" t="inlineStr">
        <is>
          <t>Different Dices for Block Printing</t>
        </is>
      </c>
      <c r="C33" s="9" t="n">
        <v>15</v>
      </c>
      <c r="D33" s="9" t="n">
        <v>0</v>
      </c>
      <c r="E33" s="9" t="n">
        <v>5</v>
      </c>
      <c r="F33" s="9">
        <f>IFERROR(MIN(C33,D33)*E33/C33,0)</f>
        <v/>
      </c>
      <c r="G33" s="9" t="n"/>
    </row>
    <row r="34" ht="14.15" customHeight="1">
      <c r="A34" s="18" t="n">
        <v>19</v>
      </c>
      <c r="B34" s="8" t="inlineStr">
        <is>
          <t>Sewing Tool Box (Measuring tape, tailor’s chalk, needles, etc.)</t>
        </is>
      </c>
      <c r="C34" s="9" t="n">
        <v>25</v>
      </c>
      <c r="D34" s="9" t="n">
        <v>0</v>
      </c>
      <c r="E34" s="9" t="n">
        <v>4</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2026-09-23T10:47:57Z</dcterms:modified>
</cp:coreProperties>
</file>
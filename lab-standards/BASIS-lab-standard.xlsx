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UX Design" sheetId="1" state="visible" r:id="rId1"/>
    <sheet xmlns:r="http://schemas.openxmlformats.org/officeDocument/2006/relationships" name="AI Tool Mgmt &amp; Prompt Eng" sheetId="2" state="visible" r:id="rId2"/>
    <sheet xmlns:r="http://schemas.openxmlformats.org/officeDocument/2006/relationships" name="Python Programming" sheetId="3" state="visible" r:id="rId3"/>
    <sheet xmlns:r="http://schemas.openxmlformats.org/officeDocument/2006/relationships" name="Technical Sales Specialist"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2"/>
    <row r="3">
      <c r="A3" s="2" t="inlineStr">
        <is>
          <t>Course Name:</t>
        </is>
      </c>
      <c r="B3" s="2" t="inlineStr">
        <is>
          <t>UI/UX Design (IT Sector)</t>
        </is>
      </c>
    </row>
    <row r="4" ht="26.85" customHeight="1">
      <c r="A4" s="2" t="inlineStr">
        <is>
          <t>Number of Trainees:</t>
        </is>
      </c>
      <c r="B4" s="2" t="n">
        <v>25</v>
      </c>
    </row>
    <row r="5"/>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UI/UX Design (IT Sector)</t>
        </is>
      </c>
      <c r="C8" s="4" t="inlineStr">
        <is>
          <t>Classroom – 350 sft (33 sqm)
Workshop/ lab – 800 sft (75 sqm)
                     OR
Classroom cum workshop – 1000 sft (93 sqm)</t>
        </is>
      </c>
      <c r="D8" s="11" t="n"/>
      <c r="E8" s="11" t="n"/>
      <c r="F8" s="11" t="n"/>
      <c r="G8" s="12" t="n"/>
    </row>
    <row r="9"/>
    <row r="10"/>
    <row r="11">
      <c r="A11" s="3" t="inlineStr">
        <is>
          <t>Major Training Equipment and Training Facilities</t>
        </is>
      </c>
    </row>
    <row r="12"/>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UI/UX Design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4"/>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Wiring Boards/Trainer Board</t>
        </is>
      </c>
      <c r="C16" s="9" t="n">
        <v>1</v>
      </c>
      <c r="D16" s="9" t="n">
        <v>0</v>
      </c>
      <c r="E16" s="9" t="n">
        <v>5</v>
      </c>
      <c r="F16" s="9">
        <f>IFERROR(MIN(C16,D16)*E16/C16,0)</f>
        <v/>
      </c>
      <c r="G16" s="9" t="n"/>
    </row>
    <row r="17" ht="14.15" customHeight="1">
      <c r="A17" s="7" t="n">
        <v>2</v>
      </c>
      <c r="B17" s="8" t="inlineStr">
        <is>
          <t>Computers/Laptop: 
(Minimum Intel core i5 or Intel core i3 6 gen/above, or AMD Ryzen similar spec, 8GB RAM (16GB preferred), 500GB SSD storage (1TB preferred), High-resolution monitors (24-inch minimum, with color accuracy).</t>
        </is>
      </c>
      <c r="C17" s="9" t="n">
        <v>25</v>
      </c>
      <c r="D17" s="9" t="n">
        <v>0</v>
      </c>
      <c r="E17" s="9" t="n">
        <v>9</v>
      </c>
      <c r="F17" s="9">
        <f>IFERROR(MIN(C17,D17)*E17/C17,0)</f>
        <v/>
      </c>
      <c r="G17" s="9" t="n"/>
    </row>
    <row r="18" ht="14.15" customHeight="1">
      <c r="A18" s="7" t="n">
        <v>3</v>
      </c>
      <c r="B18" s="8" t="inlineStr">
        <is>
          <t>Projector: 
High-resolution projector (HD or 4K) for instructor presentations, Large screen for the room to ensure visibility for all trainees.</t>
        </is>
      </c>
      <c r="C18" s="9" t="n">
        <v>1</v>
      </c>
      <c r="D18" s="9" t="n">
        <v>0</v>
      </c>
      <c r="E18" s="9" t="n">
        <v>8</v>
      </c>
      <c r="F18" s="9">
        <f>IFERROR(MIN(C18,D18)*E18/C18,0)</f>
        <v/>
      </c>
      <c r="G18" s="9" t="n"/>
    </row>
    <row r="19" ht="14.15" customHeight="1">
      <c r="A19" s="7" t="n">
        <v>4</v>
      </c>
      <c r="B19" s="8" t="inlineStr">
        <is>
          <t>UI/UX Design Tools: 
Adobe XD or Sketch (latest version), Figma (cloud-based for collaboration), InVision or Axure RP for prototyping.</t>
        </is>
      </c>
      <c r="C19" s="9" t="n">
        <v>3</v>
      </c>
      <c r="D19" s="9" t="n">
        <v>0</v>
      </c>
      <c r="E19" s="9" t="n">
        <v>10</v>
      </c>
      <c r="F19" s="9">
        <f>IFERROR(MIN(C19,D19)*E19/C19,0)</f>
        <v/>
      </c>
      <c r="G19" s="9" t="n"/>
    </row>
    <row r="20" ht="14.15" customHeight="1">
      <c r="A20" s="7" t="n">
        <v>5</v>
      </c>
      <c r="B20" s="8" t="inlineStr">
        <is>
          <t>Adobe Photoshop, Illustrator (latest version).</t>
        </is>
      </c>
      <c r="C20" s="9" t="n">
        <v>1</v>
      </c>
      <c r="D20" s="9" t="n">
        <v>0</v>
      </c>
      <c r="E20" s="9" t="n">
        <v>9</v>
      </c>
      <c r="F20" s="9">
        <f>IFERROR(MIN(C20,D20)*E20/C20,0)</f>
        <v/>
      </c>
      <c r="G20" s="9" t="n"/>
    </row>
    <row r="21" ht="14.15" customHeight="1">
      <c r="A21" s="7" t="n">
        <v>6</v>
      </c>
      <c r="B21" s="8" t="inlineStr">
        <is>
          <t>Wireframing Tools: 
Balsamiq or similar.</t>
        </is>
      </c>
      <c r="C21" s="9" t="n">
        <v>1</v>
      </c>
      <c r="D21" s="9" t="n">
        <v>0</v>
      </c>
      <c r="E21" s="9" t="n">
        <v>6</v>
      </c>
      <c r="F21" s="9">
        <f>IFERROR(MIN(C21,D21)*E21/C21,0)</f>
        <v/>
      </c>
      <c r="G21" s="9" t="n"/>
    </row>
    <row r="22" ht="14.15" customHeight="1">
      <c r="A22" s="7" t="n">
        <v>7</v>
      </c>
      <c r="B22" s="8" t="inlineStr">
        <is>
          <t>Web Development Tools (optional):
Sublime Text, Visual Studio Code for basic front-end coding (HTML, CSS, JavaScript).</t>
        </is>
      </c>
      <c r="C22" s="9" t="n">
        <v>1</v>
      </c>
      <c r="D22" s="9" t="n">
        <v>0</v>
      </c>
      <c r="E22" s="9" t="n">
        <v>6</v>
      </c>
      <c r="F22" s="9">
        <f>IFERROR(MIN(C22,D22)*E22/C22,0)</f>
        <v/>
      </c>
      <c r="G22" s="9" t="n"/>
    </row>
    <row r="23">
      <c r="A23" s="10" t="inlineStr">
        <is>
          <t>Sum</t>
        </is>
      </c>
      <c r="B23" s="11" t="n"/>
      <c r="C23" s="11" t="n"/>
      <c r="D23" s="12" t="n"/>
      <c r="E23" s="10">
        <f>SUM(E16:E22)</f>
        <v/>
      </c>
      <c r="F23" s="10">
        <f>SUM(F16:F22)</f>
        <v/>
      </c>
      <c r="G23" s="13" t="n"/>
    </row>
    <row r="24">
      <c r="A24" s="10" t="inlineStr">
        <is>
          <t>Score out of 100</t>
        </is>
      </c>
      <c r="B24" s="11" t="n"/>
      <c r="C24" s="11" t="n"/>
      <c r="D24" s="11" t="n"/>
      <c r="E24" s="12" t="n"/>
      <c r="F24" s="10">
        <f>F23/E23*100</f>
        <v/>
      </c>
      <c r="G24" s="13" t="n"/>
    </row>
    <row r="25" ht="9.75" customHeight="1"/>
    <row r="26">
      <c r="A26" s="10" t="inlineStr">
        <is>
          <t xml:space="preserve">Total achieved points out of 30  </t>
        </is>
      </c>
      <c r="B26" s="11" t="n"/>
      <c r="C26" s="11" t="n"/>
      <c r="D26" s="11" t="n"/>
      <c r="E26" s="12" t="n"/>
      <c r="F26" s="10">
        <f>F24*30/100</f>
        <v/>
      </c>
      <c r="G26" s="10" t="inlineStr">
        <is>
          <t>Points</t>
        </is>
      </c>
    </row>
  </sheetData>
  <mergeCells count="8">
    <mergeCell ref="A13:G13"/>
    <mergeCell ref="A23:D23"/>
    <mergeCell ref="C7:G7"/>
    <mergeCell ref="A1:G1"/>
    <mergeCell ref="A26:E26"/>
    <mergeCell ref="A24:E24"/>
    <mergeCell ref="A25:G25"/>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AI Tool Management &amp; Prompt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AI Tool Management &amp; Prompt Engineering</t>
        </is>
      </c>
      <c r="C8" s="4" t="inlineStr">
        <is>
          <t>Classroom cum workshop – 500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AI Tool Management &amp; Prompt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7</v>
      </c>
      <c r="F16" s="9">
        <f>IFERROR(MIN(C16,D16)*E16/C16,0)</f>
        <v/>
      </c>
      <c r="G16" s="9" t="n"/>
    </row>
    <row r="17" ht="14.15" customHeight="1">
      <c r="A17" s="7" t="n">
        <v>2</v>
      </c>
      <c r="B17" s="8" t="inlineStr">
        <is>
          <t>Printer</t>
        </is>
      </c>
      <c r="C17" s="9" t="n">
        <v>1</v>
      </c>
      <c r="D17" s="9" t="n">
        <v>0</v>
      </c>
      <c r="E17" s="9" t="n">
        <v>4</v>
      </c>
      <c r="F17" s="9">
        <f>IFERROR(MIN(C17,D17)*E17/C17,0)</f>
        <v/>
      </c>
      <c r="G17" s="9" t="n"/>
    </row>
    <row r="18" ht="14.15" customHeight="1">
      <c r="A18" s="7" t="n">
        <v>3</v>
      </c>
      <c r="B18" s="8" t="inlineStr">
        <is>
          <t>Scanner</t>
        </is>
      </c>
      <c r="C18" s="9" t="n">
        <v>1</v>
      </c>
      <c r="D18" s="9" t="n">
        <v>0</v>
      </c>
      <c r="E18" s="9" t="n">
        <v>4</v>
      </c>
      <c r="F18" s="9">
        <f>IFERROR(MIN(C18,D18)*E18/C18,0)</f>
        <v/>
      </c>
      <c r="G18" s="9" t="n"/>
    </row>
    <row r="19" ht="14.15" customHeight="1">
      <c r="A19" s="7" t="n">
        <v>4</v>
      </c>
      <c r="B19" s="8" t="inlineStr">
        <is>
          <t>Computers/Laptop: 
(Minimum Intel Core i5 processor (8th Gen), 8GB RAM (16GB preferred), 256GB SSD/HDD storage,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8</v>
      </c>
      <c r="F20" s="9">
        <f>IFERROR(MIN(C20,D20)*E20/C20,0)</f>
        <v/>
      </c>
      <c r="G20" s="9" t="n"/>
    </row>
    <row r="21" ht="14.15" customHeight="1">
      <c r="A21" s="7" t="n">
        <v>6</v>
      </c>
      <c r="B21" s="8" t="inlineStr">
        <is>
          <t>High-Speed Internet Router</t>
        </is>
      </c>
      <c r="C21" s="9" t="n">
        <v>1</v>
      </c>
      <c r="D21" s="9" t="n">
        <v>0</v>
      </c>
      <c r="E21" s="9" t="n">
        <v>8</v>
      </c>
      <c r="F21" s="9">
        <f>IFERROR(MIN(C21,D21)*E21/C21,0)</f>
        <v/>
      </c>
      <c r="G21" s="9" t="n"/>
    </row>
    <row r="22" ht="14.15" customHeight="1">
      <c r="A22" s="7" t="n">
        <v>7</v>
      </c>
      <c r="B22" s="8" t="inlineStr">
        <is>
          <t>LAN Networking System (Cables and Ports)</t>
        </is>
      </c>
      <c r="C22" s="9" t="n">
        <v>1</v>
      </c>
      <c r="D22" s="9" t="n">
        <v>0</v>
      </c>
      <c r="E22" s="9" t="n">
        <v>6</v>
      </c>
      <c r="F22" s="9">
        <f>IFERROR(MIN(C22,D22)*E22/C22,0)</f>
        <v/>
      </c>
      <c r="G22" s="9" t="n"/>
    </row>
    <row r="23" ht="14.15" customHeight="1">
      <c r="A23" s="7" t="n">
        <v>8</v>
      </c>
      <c r="B23" s="8" t="inlineStr">
        <is>
          <t>UPS (Uninterruptible Power Supply)</t>
        </is>
      </c>
      <c r="C23" s="9" t="n">
        <v>25</v>
      </c>
      <c r="D23" s="9" t="n">
        <v>0</v>
      </c>
      <c r="E23" s="9" t="n">
        <v>6</v>
      </c>
      <c r="F23" s="9">
        <f>IFERROR(MIN(C23,D23)*E23/C23,0)</f>
        <v/>
      </c>
      <c r="G23" s="9" t="n"/>
    </row>
    <row r="24" ht="14.15" customHeight="1">
      <c r="A24" s="7" t="n">
        <v>9</v>
      </c>
      <c r="B24" s="8" t="inlineStr">
        <is>
          <t>External Hard Drive / Backup Storage</t>
        </is>
      </c>
      <c r="C24" s="9" t="n">
        <v>2</v>
      </c>
      <c r="D24" s="9" t="n">
        <v>0</v>
      </c>
      <c r="E24" s="9" t="n">
        <v>4</v>
      </c>
      <c r="F24" s="9">
        <f>IFERROR(MIN(C24,D24)*E24/C24,0)</f>
        <v/>
      </c>
      <c r="G24" s="9" t="n"/>
    </row>
    <row r="25" ht="14.15" customHeight="1">
      <c r="A25" s="7" t="n">
        <v>10</v>
      </c>
      <c r="B25" s="8" t="inlineStr">
        <is>
          <t>Projection Screen</t>
        </is>
      </c>
      <c r="C25" s="9" t="n">
        <v>1</v>
      </c>
      <c r="D25" s="9" t="n">
        <v>0</v>
      </c>
      <c r="E25" s="9" t="n">
        <v>4</v>
      </c>
      <c r="F25" s="9">
        <f>IFERROR(MIN(C25,D25)*E25/C25,0)</f>
        <v/>
      </c>
      <c r="G25" s="9" t="n"/>
    </row>
    <row r="26" ht="14.15" customHeight="1">
      <c r="A26" s="7" t="n">
        <v>11</v>
      </c>
      <c r="B26" s="8" t="inlineStr">
        <is>
          <t>Whiteboard / Smart Board</t>
        </is>
      </c>
      <c r="C26" s="9" t="n">
        <v>1</v>
      </c>
      <c r="D26" s="9" t="n">
        <v>0</v>
      </c>
      <c r="E26" s="9" t="n">
        <v>4</v>
      </c>
      <c r="F26" s="9">
        <f>IFERROR(MIN(C26,D26)*E26/C26,0)</f>
        <v/>
      </c>
      <c r="G26" s="9" t="n"/>
    </row>
    <row r="27" ht="14.15" customHeight="1">
      <c r="A27" s="7" t="n">
        <v>12</v>
      </c>
      <c r="B27" s="8" t="inlineStr">
        <is>
          <t>Computer Tables</t>
        </is>
      </c>
      <c r="C27" s="9" t="n">
        <v>25</v>
      </c>
      <c r="D27" s="9" t="n">
        <v>0</v>
      </c>
      <c r="E27" s="9" t="n">
        <v>3</v>
      </c>
      <c r="F27" s="9">
        <f>IFERROR(MIN(C27,D27)*E27/C27,0)</f>
        <v/>
      </c>
      <c r="G27" s="9" t="n"/>
    </row>
    <row r="28" ht="14.15" customHeight="1">
      <c r="A28" s="7" t="n">
        <v>13</v>
      </c>
      <c r="B28" s="8" t="inlineStr">
        <is>
          <t>Computer Chairs</t>
        </is>
      </c>
      <c r="C28" s="9" t="n">
        <v>25</v>
      </c>
      <c r="D28" s="9" t="n">
        <v>0</v>
      </c>
      <c r="E28" s="9" t="n">
        <v>3</v>
      </c>
      <c r="F28" s="9">
        <f>IFERROR(MIN(C28,D28)*E28/C28,0)</f>
        <v/>
      </c>
      <c r="G28" s="9" t="n"/>
    </row>
    <row r="29" ht="14.15" customHeight="1">
      <c r="A29" s="7" t="n">
        <v>14</v>
      </c>
      <c r="B29" s="8" t="inlineStr">
        <is>
          <t>Trainer Table and Chair</t>
        </is>
      </c>
      <c r="C29" s="9" t="n">
        <v>2</v>
      </c>
      <c r="D29" s="9" t="n">
        <v>0</v>
      </c>
      <c r="E29" s="9" t="n">
        <v>3</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Python Programming (IT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Python Programming (IT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Python Programming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26</v>
      </c>
      <c r="D16" s="9" t="n">
        <v>0</v>
      </c>
      <c r="E16" s="9" t="n">
        <v>10</v>
      </c>
      <c r="F16" s="9">
        <f>IFERROR(MIN(C16,D16)*E16/C16,0)</f>
        <v/>
      </c>
      <c r="G16" s="9" t="n"/>
    </row>
    <row r="17" ht="14.15" customHeight="1">
      <c r="A17" s="7" t="n">
        <v>2</v>
      </c>
      <c r="B17" s="8" t="inlineStr">
        <is>
          <t>Multimedia projector &amp; screen</t>
        </is>
      </c>
      <c r="C17" s="9" t="n">
        <v>1</v>
      </c>
      <c r="D17" s="9" t="n">
        <v>0</v>
      </c>
      <c r="E17" s="9" t="n">
        <v>8</v>
      </c>
      <c r="F17" s="9">
        <f>IFERROR(MIN(C17,D17)*E17/C17,0)</f>
        <v/>
      </c>
      <c r="G17" s="9" t="n"/>
    </row>
    <row r="18">
      <c r="A18" s="10" t="inlineStr">
        <is>
          <t>Sum</t>
        </is>
      </c>
      <c r="B18" s="11" t="n"/>
      <c r="C18" s="11" t="n"/>
      <c r="D18" s="12" t="n"/>
      <c r="E18" s="10">
        <f>SUM(E16:E17)</f>
        <v/>
      </c>
      <c r="F18" s="10">
        <f>SUM(F16:F17)</f>
        <v/>
      </c>
      <c r="G18" s="13" t="n"/>
    </row>
    <row r="19">
      <c r="A19" s="10" t="inlineStr">
        <is>
          <t>Score out of 100</t>
        </is>
      </c>
      <c r="B19" s="11" t="n"/>
      <c r="C19" s="11" t="n"/>
      <c r="D19" s="11" t="n"/>
      <c r="E19" s="12" t="n"/>
      <c r="F19" s="10">
        <f>F18/E18*100</f>
        <v/>
      </c>
      <c r="G19" s="13" t="n"/>
    </row>
    <row r="20" ht="9.75" customHeight="1"/>
    <row r="21">
      <c r="A21" s="10" t="inlineStr">
        <is>
          <t xml:space="preserve">Total achieved points out of 30  </t>
        </is>
      </c>
      <c r="B21" s="11" t="n"/>
      <c r="C21" s="11" t="n"/>
      <c r="D21" s="11" t="n"/>
      <c r="E21" s="12" t="n"/>
      <c r="F21" s="10">
        <f>F19*30/100</f>
        <v/>
      </c>
      <c r="G21" s="10" t="inlineStr">
        <is>
          <t>Points</t>
        </is>
      </c>
    </row>
  </sheetData>
  <mergeCells count="8">
    <mergeCell ref="A21:E21"/>
    <mergeCell ref="A13:G13"/>
    <mergeCell ref="C7:G7"/>
    <mergeCell ref="A18:D18"/>
    <mergeCell ref="A1:G1"/>
    <mergeCell ref="A19:E19"/>
    <mergeCell ref="A20:G20"/>
    <mergeCell ref="C8:G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Technical Sales Specialist (IT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Technical Sales Specialist (IT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Technical Sales Specialist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26</v>
      </c>
      <c r="D16" s="9" t="n">
        <v>0</v>
      </c>
      <c r="E16" s="9" t="n">
        <v>6</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c r="A18" s="10" t="inlineStr">
        <is>
          <t>Sum</t>
        </is>
      </c>
      <c r="B18" s="11" t="n"/>
      <c r="C18" s="11" t="n"/>
      <c r="D18" s="12" t="n"/>
      <c r="E18" s="10">
        <f>SUM(E16:E17)</f>
        <v/>
      </c>
      <c r="F18" s="10">
        <f>SUM(F16:F17)</f>
        <v/>
      </c>
      <c r="G18" s="13" t="n"/>
    </row>
    <row r="19">
      <c r="A19" s="10" t="inlineStr">
        <is>
          <t>Score out of 100</t>
        </is>
      </c>
      <c r="B19" s="11" t="n"/>
      <c r="C19" s="11" t="n"/>
      <c r="D19" s="11" t="n"/>
      <c r="E19" s="12" t="n"/>
      <c r="F19" s="10">
        <f>F18/E18*100</f>
        <v/>
      </c>
      <c r="G19" s="13" t="n"/>
    </row>
    <row r="20" ht="9.75" customHeight="1"/>
    <row r="21">
      <c r="A21" s="10" t="inlineStr">
        <is>
          <t xml:space="preserve">Total achieved points out of 30  </t>
        </is>
      </c>
      <c r="B21" s="11" t="n"/>
      <c r="C21" s="11" t="n"/>
      <c r="D21" s="11" t="n"/>
      <c r="E21" s="12" t="n"/>
      <c r="F21" s="10">
        <f>F19*30/100</f>
        <v/>
      </c>
      <c r="G21" s="10" t="inlineStr">
        <is>
          <t>Points</t>
        </is>
      </c>
    </row>
  </sheetData>
  <mergeCells count="8">
    <mergeCell ref="A21:E21"/>
    <mergeCell ref="A13:G13"/>
    <mergeCell ref="C7:G7"/>
    <mergeCell ref="A18:D18"/>
    <mergeCell ref="A1:G1"/>
    <mergeCell ref="A19:E19"/>
    <mergeCell ref="A20:G20"/>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2026-09-23T10:47:57Z</dcterms:modified>
</cp:coreProperties>
</file>
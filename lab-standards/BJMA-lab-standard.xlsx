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7" autoFilterDateGrouping="1"/>
  </bookViews>
  <sheets>
    <sheet xmlns:r="http://schemas.openxmlformats.org/officeDocument/2006/relationships" name="Jute Bleach Dye Printing" sheetId="1" state="visible" r:id="rId1"/>
    <sheet xmlns:r="http://schemas.openxmlformats.org/officeDocument/2006/relationships" name="Spinning Winding Beaming" sheetId="2" state="visible" r:id="rId2"/>
    <sheet xmlns:r="http://schemas.openxmlformats.org/officeDocument/2006/relationships" name="Compliance Sustainability" sheetId="3" state="visible" r:id="rId3"/>
    <sheet xmlns:r="http://schemas.openxmlformats.org/officeDocument/2006/relationships" name="Jute Mill Machinery Maint" sheetId="4" state="visible" r:id="rId4"/>
    <sheet xmlns:r="http://schemas.openxmlformats.org/officeDocument/2006/relationships" name="Merchandising" sheetId="5" state="visible" r:id="rId5"/>
    <sheet xmlns:r="http://schemas.openxmlformats.org/officeDocument/2006/relationships" name="Pattern Design Prod Dev" sheetId="6" state="visible" r:id="rId6"/>
    <sheet xmlns:r="http://schemas.openxmlformats.org/officeDocument/2006/relationships" name="Weaving and Finishing" sheetId="7" state="visible" r:id="rId7"/>
    <sheet xmlns:r="http://schemas.openxmlformats.org/officeDocument/2006/relationships" name="Batching Preparing Drawing" sheetId="8" state="visible" r:id="rId8"/>
    <sheet xmlns:r="http://schemas.openxmlformats.org/officeDocument/2006/relationships" name="Industry Supervisor"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4"/>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Jute Bleaching, Dyeing, and Printing</t>
        </is>
      </c>
    </row>
    <row r="4" ht="26.25" customHeight="1" s="20">
      <c r="A4" s="22" t="inlineStr">
        <is>
          <t>Number of Trainees:</t>
        </is>
      </c>
      <c r="B4" s="22" t="n">
        <v>25</v>
      </c>
    </row>
    <row r="6" ht="15" customHeight="1" s="20">
      <c r="A6" s="23" t="inlineStr">
        <is>
          <t>Course-wise Training Space (Theoretical Classroom, Workshop/ Lab/ Classroom cum Workshop)</t>
        </is>
      </c>
    </row>
    <row r="7" ht="15" customHeight="1" s="20">
      <c r="B7" s="22" t="inlineStr">
        <is>
          <t>Course Name</t>
        </is>
      </c>
      <c r="C7" s="22" t="inlineStr">
        <is>
          <t>SICIP required space for 25 trainees</t>
        </is>
      </c>
      <c r="D7" s="24" t="n"/>
      <c r="E7" s="24" t="n"/>
      <c r="F7" s="24" t="n"/>
      <c r="G7" s="25" t="n"/>
    </row>
    <row r="8" ht="51.75" customHeight="1" s="20">
      <c r="B8" s="22" t="inlineStr">
        <is>
          <t>Jute Bleaching, Dyeing, and Printing</t>
        </is>
      </c>
      <c r="C8" s="26" t="inlineStr">
        <is>
          <t>Classroom – 350 sft (33 sqm)
Workshop/ lab – 800 sft (75 sqm) OR
Classroom cum workshop – 1000 sft (93 sqm)</t>
        </is>
      </c>
      <c r="D8" s="24" t="n"/>
      <c r="E8" s="24" t="n"/>
      <c r="F8" s="24" t="n"/>
      <c r="G8" s="25"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Jute Bleaching, Dyeing, and Printing,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v>0</v>
      </c>
      <c r="E16" s="31" t="n">
        <v>5</v>
      </c>
      <c r="F16" s="31">
        <f>IFERROR(MIN(C16,D16)*E16/C16,0)</f>
        <v/>
      </c>
      <c r="G16" s="31" t="n"/>
    </row>
    <row r="17" ht="13.5" customHeight="1" s="20">
      <c r="A17" s="29" t="n">
        <v>2</v>
      </c>
      <c r="B17" s="30" t="inlineStr">
        <is>
          <t>Multimedia projector &amp; screen</t>
        </is>
      </c>
      <c r="C17" s="31" t="n">
        <v>1</v>
      </c>
      <c r="D17" s="31" t="n">
        <v>0</v>
      </c>
      <c r="E17" s="31" t="n">
        <v>5</v>
      </c>
      <c r="F17" s="31">
        <f>IFERROR(MIN(C17,D17)*E17/C17,0)</f>
        <v/>
      </c>
      <c r="G17" s="31" t="n"/>
    </row>
    <row r="18" ht="13.5" customHeight="1" s="20">
      <c r="A18" s="29" t="n">
        <v>3</v>
      </c>
      <c r="B18" s="30" t="inlineStr">
        <is>
          <t>Scanner</t>
        </is>
      </c>
      <c r="C18" s="31" t="n">
        <v>1</v>
      </c>
      <c r="D18" s="31" t="n">
        <v>0</v>
      </c>
      <c r="E18" s="31" t="n">
        <v>5</v>
      </c>
      <c r="F18" s="31">
        <f>IFERROR(MIN(C18,D18)*E18/C18,0)</f>
        <v/>
      </c>
      <c r="G18" s="31" t="n"/>
    </row>
    <row r="19" ht="13.5" customHeight="1" s="20">
      <c r="A19" s="29" t="n">
        <v>4</v>
      </c>
      <c r="B19" s="30" t="inlineStr">
        <is>
          <t>Printer</t>
        </is>
      </c>
      <c r="C19" s="31" t="n">
        <v>1</v>
      </c>
      <c r="D19" s="31" t="n">
        <v>0</v>
      </c>
      <c r="E19" s="31" t="n">
        <v>5</v>
      </c>
      <c r="F19" s="31">
        <f>IFERROR(MIN(C19,D19)*E19/C19,0)</f>
        <v/>
      </c>
      <c r="G19" s="31" t="n"/>
    </row>
    <row r="20" ht="13.5" customHeight="1" s="20">
      <c r="A20" s="29" t="n">
        <v>5</v>
      </c>
      <c r="B20" s="30" t="inlineStr">
        <is>
          <t>Jigger Machine</t>
        </is>
      </c>
      <c r="C20" s="31" t="n">
        <v>1</v>
      </c>
      <c r="D20" s="31" t="n">
        <v>0</v>
      </c>
      <c r="E20" s="31" t="n">
        <v>9</v>
      </c>
      <c r="F20" s="31">
        <f>IFERROR(MIN(C20,D20)*E20/C20,0)</f>
        <v/>
      </c>
      <c r="G20" s="31" t="n"/>
    </row>
    <row r="21" ht="13.5" customHeight="1" s="20">
      <c r="A21" s="29" t="n">
        <v>6</v>
      </c>
      <c r="B21" s="30" t="inlineStr">
        <is>
          <t>Padder and Dryer Machine</t>
        </is>
      </c>
      <c r="C21" s="31" t="n">
        <v>1</v>
      </c>
      <c r="D21" s="31" t="n">
        <v>0</v>
      </c>
      <c r="E21" s="31" t="n">
        <v>9</v>
      </c>
      <c r="F21" s="31">
        <f>IFERROR(MIN(C21,D21)*E21/C21,0)</f>
        <v/>
      </c>
      <c r="G21" s="31" t="n"/>
    </row>
    <row r="22" ht="13.5" customHeight="1" s="20">
      <c r="A22" s="29" t="n">
        <v>7</v>
      </c>
      <c r="B22" s="30" t="inlineStr">
        <is>
          <t>Electronic weighing scale</t>
        </is>
      </c>
      <c r="C22" s="31" t="n">
        <v>2</v>
      </c>
      <c r="D22" s="31" t="n">
        <v>0</v>
      </c>
      <c r="E22" s="31" t="n">
        <v>5</v>
      </c>
      <c r="F22" s="31">
        <f>IFERROR(MIN(C22,D22)*E22/C22,0)</f>
        <v/>
      </c>
      <c r="G22" s="31" t="n"/>
    </row>
    <row r="23" ht="13.5" customHeight="1" s="20">
      <c r="A23" s="29" t="n">
        <v>8</v>
      </c>
      <c r="B23" s="30" t="inlineStr">
        <is>
          <t>pH meter</t>
        </is>
      </c>
      <c r="C23" s="31" t="n">
        <v>2</v>
      </c>
      <c r="D23" s="31" t="n">
        <v>0</v>
      </c>
      <c r="E23" s="31" t="n">
        <v>6</v>
      </c>
      <c r="F23" s="31">
        <f>IFERROR(MIN(C23,D23)*E23/C23,0)</f>
        <v/>
      </c>
      <c r="G23" s="31" t="n"/>
    </row>
    <row r="24" ht="13.5" customHeight="1" s="20">
      <c r="A24" s="29" t="n">
        <v>9</v>
      </c>
      <c r="B24" s="30" t="inlineStr">
        <is>
          <t>Thermometer set</t>
        </is>
      </c>
      <c r="C24" s="31" t="n">
        <v>5</v>
      </c>
      <c r="D24" s="31" t="n">
        <v>0</v>
      </c>
      <c r="E24" s="31" t="n">
        <v>4</v>
      </c>
      <c r="F24" s="31">
        <f>IFERROR(MIN(C24,D24)*E24/C24,0)</f>
        <v/>
      </c>
      <c r="G24" s="31" t="n"/>
    </row>
    <row r="25" ht="13.5" customHeight="1" s="20">
      <c r="A25" s="29" t="n">
        <v>10</v>
      </c>
      <c r="B25" s="30" t="inlineStr">
        <is>
          <t>Flatbed printing table</t>
        </is>
      </c>
      <c r="C25" s="31" t="n">
        <v>4</v>
      </c>
      <c r="D25" s="31" t="n">
        <v>0</v>
      </c>
      <c r="E25" s="31" t="n">
        <v>7</v>
      </c>
      <c r="F25" s="31">
        <f>IFERROR(MIN(C25,D25)*E25/C25,0)</f>
        <v/>
      </c>
      <c r="G25" s="31" t="n"/>
    </row>
    <row r="26" ht="13.5" customHeight="1" s="20">
      <c r="A26" s="29" t="n">
        <v>11</v>
      </c>
      <c r="B26" s="30" t="inlineStr">
        <is>
          <t>Screen printing frames (assorted)</t>
        </is>
      </c>
      <c r="C26" s="31" t="n">
        <v>12</v>
      </c>
      <c r="D26" s="31" t="n">
        <v>0</v>
      </c>
      <c r="E26" s="31" t="n">
        <v>7</v>
      </c>
      <c r="F26" s="31">
        <f>IFERROR(MIN(C26,D26)*E26/C26,0)</f>
        <v/>
      </c>
      <c r="G26" s="31" t="n"/>
    </row>
    <row r="27" ht="13.5" customHeight="1" s="20">
      <c r="A27" s="29" t="n">
        <v>12</v>
      </c>
      <c r="B27" s="30" t="inlineStr">
        <is>
          <t>Squeegee sets</t>
        </is>
      </c>
      <c r="C27" s="31" t="n">
        <v>12</v>
      </c>
      <c r="D27" s="31" t="n">
        <v>0</v>
      </c>
      <c r="E27" s="31" t="n">
        <v>4</v>
      </c>
      <c r="F27" s="31">
        <f>IFERROR(MIN(C27,D27)*E27/C27,0)</f>
        <v/>
      </c>
      <c r="G27" s="31" t="n"/>
    </row>
    <row r="28" ht="13.5" customHeight="1" s="20">
      <c r="A28" s="29" t="n">
        <v>13</v>
      </c>
      <c r="B28" s="30" t="inlineStr">
        <is>
          <t>Ink/paste mixing machine</t>
        </is>
      </c>
      <c r="C28" s="31" t="n">
        <v>2</v>
      </c>
      <c r="D28" s="31" t="n">
        <v>0</v>
      </c>
      <c r="E28" s="31" t="n">
        <v>7</v>
      </c>
      <c r="F28" s="31">
        <f>IFERROR(MIN(C28,D28)*E28/C28,0)</f>
        <v/>
      </c>
      <c r="G28" s="31" t="n"/>
    </row>
    <row r="29" ht="13.5" customHeight="1" s="20">
      <c r="A29" s="29" t="n">
        <v>14</v>
      </c>
      <c r="B29" s="30" t="inlineStr">
        <is>
          <t>Printing drying racks</t>
        </is>
      </c>
      <c r="C29" s="31" t="n">
        <v>2</v>
      </c>
      <c r="D29" s="31" t="n">
        <v>0</v>
      </c>
      <c r="E29" s="31" t="n">
        <v>5</v>
      </c>
      <c r="F29" s="31">
        <f>IFERROR(MIN(C29,D29)*E29/C29,0)</f>
        <v/>
      </c>
      <c r="G29" s="31" t="n"/>
    </row>
    <row r="30" ht="13.5" customHeight="1" s="20">
      <c r="A30" s="29" t="n">
        <v>15</v>
      </c>
      <c r="B30" s="30" t="inlineStr">
        <is>
          <t>Drying chamber / drying room</t>
        </is>
      </c>
      <c r="C30" s="31" t="n">
        <v>1</v>
      </c>
      <c r="D30" s="31" t="n">
        <v>0</v>
      </c>
      <c r="E30" s="31" t="n">
        <v>8</v>
      </c>
      <c r="F30" s="31">
        <f>IFERROR(MIN(C30,D30)*E30/C30,0)</f>
        <v/>
      </c>
      <c r="G30" s="31" t="n"/>
    </row>
    <row r="31" ht="13.5" customHeight="1" s="20">
      <c r="A31" s="29" t="n">
        <v>16</v>
      </c>
      <c r="B31" s="30" t="inlineStr">
        <is>
          <t>Hot air blower / industrial dryer</t>
        </is>
      </c>
      <c r="C31" s="31" t="n">
        <v>2</v>
      </c>
      <c r="D31" s="31" t="n">
        <v>0</v>
      </c>
      <c r="E31" s="31" t="n">
        <v>6</v>
      </c>
      <c r="F31" s="31">
        <f>IFERROR(MIN(C31,D31)*E31/C31,0)</f>
        <v/>
      </c>
      <c r="G31" s="31" t="n"/>
    </row>
    <row r="32" ht="13.5" customHeight="1" s="20">
      <c r="A32" s="29" t="n">
        <v>17</v>
      </c>
      <c r="B32" s="30" t="inlineStr">
        <is>
          <t>Folding &amp; inspection tables</t>
        </is>
      </c>
      <c r="C32" s="31" t="n">
        <v>3</v>
      </c>
      <c r="D32" s="31" t="n">
        <v>0</v>
      </c>
      <c r="E32" s="31" t="n">
        <v>5</v>
      </c>
      <c r="F32" s="31">
        <f>IFERROR(MIN(C32,D32)*E32/C32,0)</f>
        <v/>
      </c>
      <c r="G32" s="31" t="n"/>
    </row>
    <row r="33" ht="13.5" customHeight="1" s="20">
      <c r="A33" s="29" t="n">
        <v>18</v>
      </c>
      <c r="B33" s="30" t="inlineStr">
        <is>
          <t>Fabric rolling machine</t>
        </is>
      </c>
      <c r="C33" s="31" t="n">
        <v>1</v>
      </c>
      <c r="D33" s="31" t="n">
        <v>0</v>
      </c>
      <c r="E33" s="31" t="n">
        <v>7</v>
      </c>
      <c r="F33" s="31">
        <f>IFERROR(MIN(C33,D33)*E33/C33,0)</f>
        <v/>
      </c>
      <c r="G33" s="31" t="n"/>
    </row>
    <row r="34" ht="13.5" customHeight="1" s="20">
      <c r="A34" s="29" t="n">
        <v>19</v>
      </c>
      <c r="B34" s="30" t="inlineStr">
        <is>
          <t>Boiler (steam generation)</t>
        </is>
      </c>
      <c r="C34" s="31" t="n">
        <v>1</v>
      </c>
      <c r="D34" s="31" t="n">
        <v>0</v>
      </c>
      <c r="E34" s="31" t="n">
        <v>9</v>
      </c>
      <c r="F34" s="31">
        <f>IFERROR(MIN(C34,D34)*E34/C34,0)</f>
        <v/>
      </c>
      <c r="G34" s="31" t="n"/>
    </row>
    <row r="35" ht="13.5" customHeight="1" s="20">
      <c r="A35" s="29" t="n">
        <v>20</v>
      </c>
      <c r="B35" s="30" t="inlineStr">
        <is>
          <t>Water pump system</t>
        </is>
      </c>
      <c r="C35" s="31" t="n">
        <v>1</v>
      </c>
      <c r="D35" s="31" t="n">
        <v>0</v>
      </c>
      <c r="E35" s="31" t="n">
        <v>6</v>
      </c>
      <c r="F35" s="31">
        <f>IFERROR(MIN(C35,D35)*E35/C35,0)</f>
        <v/>
      </c>
      <c r="G35" s="31" t="n"/>
    </row>
    <row r="36" ht="13.5" customHeight="1" s="20">
      <c r="A36" s="29" t="n">
        <v>21</v>
      </c>
      <c r="B36" s="30" t="inlineStr">
        <is>
          <t>Chemical storage cabinets</t>
        </is>
      </c>
      <c r="C36" s="31" t="n">
        <v>2</v>
      </c>
      <c r="D36" s="31" t="n">
        <v>0</v>
      </c>
      <c r="E36" s="31" t="n">
        <v>5</v>
      </c>
      <c r="F36" s="31">
        <f>IFERROR(MIN(C36,D36)*E36/C36,0)</f>
        <v/>
      </c>
      <c r="G36" s="31" t="n"/>
    </row>
    <row r="37" ht="13.5" customHeight="1" s="20">
      <c r="A37" s="29" t="n">
        <v>22</v>
      </c>
      <c r="B37" s="30" t="inlineStr">
        <is>
          <t>Fire extinguishers</t>
        </is>
      </c>
      <c r="C37" s="31" t="n">
        <v>2</v>
      </c>
      <c r="D37" s="31" t="n">
        <v>0</v>
      </c>
      <c r="E37" s="31" t="n">
        <v>4</v>
      </c>
      <c r="F37" s="31">
        <f>IFERROR(MIN(C37,D37)*E37/C37,0)</f>
        <v/>
      </c>
      <c r="G37" s="31" t="n"/>
    </row>
    <row r="38" ht="13.5" customHeight="1" s="20">
      <c r="A38" s="29" t="n">
        <v>23</v>
      </c>
      <c r="B38" s="30" t="inlineStr">
        <is>
          <t>Fabric inspection light box</t>
        </is>
      </c>
      <c r="C38" s="31" t="n">
        <v>1</v>
      </c>
      <c r="D38" s="31" t="n">
        <v>0</v>
      </c>
      <c r="E38" s="31" t="n">
        <v>5</v>
      </c>
      <c r="F38" s="31">
        <f>IFERROR(MIN(C38,D38)*E38/C38,0)</f>
        <v/>
      </c>
      <c r="G38" s="31" t="n"/>
    </row>
    <row r="39" ht="13.5" customHeight="1" s="20">
      <c r="A39" s="29" t="n">
        <v>24</v>
      </c>
      <c r="B39" s="30" t="inlineStr">
        <is>
          <t>Moisture meter</t>
        </is>
      </c>
      <c r="C39" s="31" t="n">
        <v>2</v>
      </c>
      <c r="D39" s="31" t="n">
        <v>0</v>
      </c>
      <c r="E39" s="31" t="n">
        <v>4</v>
      </c>
      <c r="F39" s="31">
        <f>IFERROR(MIN(C39,D39)*E39/C39,0)</f>
        <v/>
      </c>
      <c r="G39" s="31" t="n"/>
    </row>
    <row r="40" ht="13.5" customHeight="1" s="20">
      <c r="A40" s="29" t="n">
        <v>25</v>
      </c>
      <c r="B40" s="30" t="inlineStr">
        <is>
          <t>GSM weighing scale</t>
        </is>
      </c>
      <c r="C40" s="31" t="n">
        <v>2</v>
      </c>
      <c r="D40" s="31" t="n">
        <v>0</v>
      </c>
      <c r="E40" s="31" t="n">
        <v>4</v>
      </c>
      <c r="F40" s="31">
        <f>IFERROR(MIN(C40,D40)*E40/C40,0)</f>
        <v/>
      </c>
      <c r="G40" s="31" t="n"/>
    </row>
    <row r="41" ht="15" customHeight="1" s="20">
      <c r="A41" s="32" t="inlineStr">
        <is>
          <t>Sum</t>
        </is>
      </c>
      <c r="B41" s="24" t="n"/>
      <c r="C41" s="24" t="n"/>
      <c r="D41" s="25" t="n"/>
      <c r="E41" s="32">
        <f>SUM(E16:E40)</f>
        <v/>
      </c>
      <c r="F41" s="32">
        <f>SUM(F16:F40)</f>
        <v/>
      </c>
      <c r="G41" s="33" t="n"/>
    </row>
    <row r="42" ht="15" customHeight="1" s="20">
      <c r="A42" s="32" t="inlineStr">
        <is>
          <t>Score out of 100</t>
        </is>
      </c>
      <c r="B42" s="24" t="n"/>
      <c r="C42" s="24" t="n"/>
      <c r="D42" s="24" t="n"/>
      <c r="E42" s="25" t="n"/>
      <c r="F42" s="32">
        <f>F41/E41*100</f>
        <v/>
      </c>
      <c r="G42" s="33" t="n"/>
    </row>
    <row r="43" ht="9.75" customHeight="1" s="20">
      <c r="A43" s="19" t="n"/>
    </row>
    <row r="44" ht="15" customHeight="1" s="20">
      <c r="A44" s="32" t="inlineStr">
        <is>
          <t xml:space="preserve">Total achieved points out of 30  </t>
        </is>
      </c>
      <c r="B44" s="24" t="n"/>
      <c r="C44" s="24" t="n"/>
      <c r="D44" s="24" t="n"/>
      <c r="E44" s="25" t="n"/>
      <c r="F44" s="32">
        <f>F42*30/100</f>
        <v/>
      </c>
      <c r="G44" s="32" t="inlineStr">
        <is>
          <t>Points</t>
        </is>
      </c>
    </row>
  </sheetData>
  <mergeCells count="8">
    <mergeCell ref="A13:G13"/>
    <mergeCell ref="C7:G7"/>
    <mergeCell ref="A1:G1"/>
    <mergeCell ref="A42:E42"/>
    <mergeCell ref="A43:G43"/>
    <mergeCell ref="A41:D41"/>
    <mergeCell ref="A44:E44"/>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Spinning, Winding, Beaming and Twisting Machine Operation</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22" t="inlineStr">
        <is>
          <t>SICIP required space for 30 trainees</t>
        </is>
      </c>
      <c r="D7" s="24" t="n"/>
      <c r="E7" s="24" t="n"/>
      <c r="F7" s="24" t="n"/>
      <c r="G7" s="25" t="n"/>
    </row>
    <row r="8" ht="51.75" customHeight="1" s="20">
      <c r="B8" s="22" t="inlineStr">
        <is>
          <t>Spinning, Winding, Beaming and Twisting Machine Operation</t>
        </is>
      </c>
      <c r="C8" s="26" t="inlineStr">
        <is>
          <t>Classroom – 350 sft (33 sqm)
Workshop/ lab – 800 sft (75 sqm)
                     OR
Classroom cum workshop – 1000 sft (93 sqm)</t>
        </is>
      </c>
      <c r="D8" s="24" t="n"/>
      <c r="E8" s="24" t="n"/>
      <c r="F8" s="24" t="n"/>
      <c r="G8" s="25"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Spinning, Winding, Beaming and Twisting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v>0</v>
      </c>
      <c r="E16" s="31" t="n">
        <v>5</v>
      </c>
      <c r="F16" s="31">
        <f>IFERROR(MIN(C16,D16)*E16/C16,0)</f>
        <v/>
      </c>
      <c r="G16" s="31" t="n"/>
    </row>
    <row r="17" ht="13.5" customHeight="1" s="20">
      <c r="A17" s="29" t="n">
        <v>2</v>
      </c>
      <c r="B17" s="30" t="inlineStr">
        <is>
          <t>Multimedia projector &amp; screen</t>
        </is>
      </c>
      <c r="C17" s="31" t="n">
        <v>1</v>
      </c>
      <c r="D17" s="31" t="n">
        <v>0</v>
      </c>
      <c r="E17" s="31" t="n">
        <v>5</v>
      </c>
      <c r="F17" s="31">
        <f>IFERROR(MIN(C17,D17)*E17/C17,0)</f>
        <v/>
      </c>
      <c r="G17" s="31" t="n"/>
    </row>
    <row r="18" ht="13.5" customHeight="1" s="20">
      <c r="A18" s="29" t="n">
        <v>3</v>
      </c>
      <c r="B18" s="30" t="inlineStr">
        <is>
          <t>Internet connectivity</t>
        </is>
      </c>
      <c r="C18" s="31" t="n">
        <v>1</v>
      </c>
      <c r="D18" s="31" t="n">
        <v>0</v>
      </c>
      <c r="E18" s="31" t="n">
        <v>5</v>
      </c>
      <c r="F18" s="31">
        <f>IFERROR(MIN(C18,D18)*E18/C18,0)</f>
        <v/>
      </c>
      <c r="G18" s="31" t="n"/>
    </row>
    <row r="19" ht="13.5" customHeight="1" s="20">
      <c r="A19" s="29" t="n">
        <v>4</v>
      </c>
      <c r="B19" s="30" t="inlineStr">
        <is>
          <t>White board</t>
        </is>
      </c>
      <c r="C19" s="31" t="n">
        <v>1</v>
      </c>
      <c r="D19" s="31" t="n">
        <v>0</v>
      </c>
      <c r="E19" s="31" t="n">
        <v>4</v>
      </c>
      <c r="F19" s="31">
        <f>IFERROR(MIN(C19,D19)*E19/C19,0)</f>
        <v/>
      </c>
      <c r="G19" s="31" t="n"/>
    </row>
    <row r="20" ht="13.5" customHeight="1" s="20">
      <c r="A20" s="29" t="n">
        <v>5</v>
      </c>
      <c r="B20" s="30" t="inlineStr">
        <is>
          <t>Jute spinning machine (minimum 80/100 spindles)</t>
        </is>
      </c>
      <c r="C20" s="31" t="n">
        <v>1</v>
      </c>
      <c r="D20" s="31" t="n">
        <v>0</v>
      </c>
      <c r="E20" s="31" t="n">
        <v>10</v>
      </c>
      <c r="F20" s="31">
        <f>IFERROR(MIN(C20,D20)*E20/C20,0)</f>
        <v/>
      </c>
      <c r="G20" s="31" t="n"/>
    </row>
    <row r="21" ht="13.5" customHeight="1" s="20">
      <c r="A21" s="29" t="n">
        <v>6</v>
      </c>
      <c r="B21" s="30" t="inlineStr">
        <is>
          <t>Winding machine (minimum 24 drums, both side)</t>
        </is>
      </c>
      <c r="C21" s="31" t="n">
        <v>1</v>
      </c>
      <c r="D21" s="31" t="n">
        <v>0</v>
      </c>
      <c r="E21" s="31" t="n">
        <v>9</v>
      </c>
      <c r="F21" s="31">
        <f>IFERROR(MIN(C21,D21)*E21/C21,0)</f>
        <v/>
      </c>
      <c r="G21" s="31" t="n"/>
    </row>
    <row r="22" ht="13.5" customHeight="1" s="20">
      <c r="A22" s="29" t="n">
        <v>7</v>
      </c>
      <c r="B22" s="30" t="inlineStr">
        <is>
          <t>Beaming machine</t>
        </is>
      </c>
      <c r="C22" s="31" t="n">
        <v>1</v>
      </c>
      <c r="D22" s="31" t="n">
        <v>0</v>
      </c>
      <c r="E22" s="31" t="n">
        <v>9</v>
      </c>
      <c r="F22" s="31">
        <f>IFERROR(MIN(C22,D22)*E22/C22,0)</f>
        <v/>
      </c>
      <c r="G22" s="31" t="n"/>
    </row>
    <row r="23" ht="13.5" customHeight="1" s="20">
      <c r="A23" s="29" t="n">
        <v>8</v>
      </c>
      <c r="B23" s="30" t="inlineStr">
        <is>
          <t>Twisting machine (minimum 80 spindles)</t>
        </is>
      </c>
      <c r="C23" s="31" t="n">
        <v>1</v>
      </c>
      <c r="D23" s="31" t="n">
        <v>0</v>
      </c>
      <c r="E23" s="31" t="n">
        <v>9</v>
      </c>
      <c r="F23" s="31">
        <f>IFERROR(MIN(C23,D23)*E23/C23,0)</f>
        <v/>
      </c>
      <c r="G23" s="31" t="n"/>
    </row>
    <row r="24" ht="13.5" customHeight="1" s="20">
      <c r="A24" s="29" t="n">
        <v>9</v>
      </c>
      <c r="B24" s="30" t="inlineStr">
        <is>
          <t>Warp reel and electronic balance for yarn count measurement</t>
        </is>
      </c>
      <c r="C24" s="31" t="n">
        <v>3</v>
      </c>
      <c r="D24" s="31" t="n">
        <v>0</v>
      </c>
      <c r="E24" s="31" t="n">
        <v>6</v>
      </c>
      <c r="F24" s="31">
        <f>IFERROR(MIN(C24,D24)*E24/C24,0)</f>
        <v/>
      </c>
      <c r="G24" s="31" t="n"/>
    </row>
    <row r="25" ht="13.5" customHeight="1" s="20">
      <c r="A25" s="29" t="n">
        <v>10</v>
      </c>
      <c r="B25" s="30" t="inlineStr">
        <is>
          <t>Twist tester</t>
        </is>
      </c>
      <c r="C25" s="31" t="n">
        <v>2</v>
      </c>
      <c r="D25" s="31" t="n">
        <v>0</v>
      </c>
      <c r="E25" s="31" t="n">
        <v>6</v>
      </c>
      <c r="F25" s="31">
        <f>IFERROR(MIN(C25,D25)*E25/C25,0)</f>
        <v/>
      </c>
      <c r="G25" s="31" t="n"/>
    </row>
    <row r="26" ht="13.5" customHeight="1" s="20">
      <c r="A26" s="29" t="n">
        <v>11</v>
      </c>
      <c r="B26" s="30" t="inlineStr">
        <is>
          <t>Tensile strength tester</t>
        </is>
      </c>
      <c r="C26" s="31" t="n">
        <v>1</v>
      </c>
      <c r="D26" s="31" t="n">
        <v>0</v>
      </c>
      <c r="E26" s="31" t="n">
        <v>6</v>
      </c>
      <c r="F26" s="31">
        <f>IFERROR(MIN(C26,D26)*E26/C26,0)</f>
        <v/>
      </c>
      <c r="G26" s="31" t="n"/>
    </row>
    <row r="27" ht="13.5" customHeight="1" s="20">
      <c r="A27" s="29" t="n">
        <v>12</v>
      </c>
      <c r="B27" s="30" t="inlineStr">
        <is>
          <t>Digital weighing scale</t>
        </is>
      </c>
      <c r="C27" s="31" t="n">
        <v>2</v>
      </c>
      <c r="D27" s="31" t="n">
        <v>0</v>
      </c>
      <c r="E27" s="31" t="n">
        <v>4</v>
      </c>
      <c r="F27" s="31">
        <f>IFERROR(MIN(C27,D27)*E27/C27,0)</f>
        <v/>
      </c>
      <c r="G27" s="31" t="n"/>
    </row>
    <row r="28" ht="13.5" customHeight="1" s="20">
      <c r="A28" s="29" t="n">
        <v>13</v>
      </c>
      <c r="B28" s="30" t="inlineStr">
        <is>
          <t>Moisture meter</t>
        </is>
      </c>
      <c r="C28" s="31" t="n">
        <v>2</v>
      </c>
      <c r="D28" s="31" t="n">
        <v>0</v>
      </c>
      <c r="E28" s="31" t="n">
        <v>4</v>
      </c>
      <c r="F28" s="31">
        <f>IFERROR(MIN(C28,D28)*E28/C28,0)</f>
        <v/>
      </c>
      <c r="G28" s="31" t="n"/>
    </row>
    <row r="29" ht="13.5" customHeight="1" s="20">
      <c r="A29" s="29" t="n">
        <v>14</v>
      </c>
      <c r="B29" s="30" t="inlineStr">
        <is>
          <t>Vernier caliper</t>
        </is>
      </c>
      <c r="C29" s="31" t="n">
        <v>2</v>
      </c>
      <c r="D29" s="31" t="n">
        <v>0</v>
      </c>
      <c r="E29" s="31" t="n">
        <v>3</v>
      </c>
      <c r="F29" s="31">
        <f>IFERROR(MIN(C29,D29)*E29/C29,0)</f>
        <v/>
      </c>
      <c r="G29" s="31" t="n"/>
    </row>
    <row r="30" ht="13.5" customHeight="1" s="20">
      <c r="A30" s="29" t="n">
        <v>15</v>
      </c>
      <c r="B30" s="30" t="inlineStr">
        <is>
          <t>Pneumatic splicer (portable)</t>
        </is>
      </c>
      <c r="C30" s="31" t="n">
        <v>5</v>
      </c>
      <c r="D30" s="31" t="n">
        <v>0</v>
      </c>
      <c r="E30" s="31" t="n">
        <v>6</v>
      </c>
      <c r="F30" s="31">
        <f>IFERROR(MIN(C30,D30)*E30/C30,0)</f>
        <v/>
      </c>
      <c r="G30" s="31" t="n"/>
    </row>
    <row r="31" ht="13.5" customHeight="1" s="20">
      <c r="A31" s="29" t="n">
        <v>16</v>
      </c>
      <c r="B31" s="30" t="inlineStr">
        <is>
          <t>Electronic yarn clearer unit (demonstration model)</t>
        </is>
      </c>
      <c r="C31" s="31" t="n">
        <v>1</v>
      </c>
      <c r="D31" s="31" t="n">
        <v>0</v>
      </c>
      <c r="E31" s="31" t="n">
        <v>6</v>
      </c>
      <c r="F31" s="31">
        <f>IFERROR(MIN(C31,D31)*E31/C31,0)</f>
        <v/>
      </c>
      <c r="G31" s="31" t="n"/>
    </row>
    <row r="32" ht="13.5" customHeight="1" s="20">
      <c r="A32" s="29" t="n">
        <v>17</v>
      </c>
      <c r="B32" s="30" t="inlineStr">
        <is>
          <t>Creel (minimum 100 peg capacity for warping practice)</t>
        </is>
      </c>
      <c r="C32" s="31" t="n">
        <v>1</v>
      </c>
      <c r="D32" s="31" t="n">
        <v>0</v>
      </c>
      <c r="E32" s="31" t="n">
        <v>7</v>
      </c>
      <c r="F32" s="31">
        <f>IFERROR(MIN(C32,D32)*E32/C32,0)</f>
        <v/>
      </c>
      <c r="G32" s="31" t="n"/>
    </row>
    <row r="33" ht="13.5" customHeight="1" s="20">
      <c r="A33" s="29" t="n">
        <v>18</v>
      </c>
      <c r="B33" s="30" t="inlineStr">
        <is>
          <t>Weaver's beam (flanged)</t>
        </is>
      </c>
      <c r="C33" s="31" t="n">
        <v>3</v>
      </c>
      <c r="D33" s="31" t="n">
        <v>0</v>
      </c>
      <c r="E33" s="31" t="n">
        <v>5</v>
      </c>
      <c r="F33" s="31">
        <f>IFERROR(MIN(C33,D33)*E33/C33,0)</f>
        <v/>
      </c>
      <c r="G33" s="31" t="n"/>
    </row>
    <row r="34" ht="13.5" customHeight="1" s="20">
      <c r="A34" s="29" t="n">
        <v>19</v>
      </c>
      <c r="B34" s="30" t="inlineStr">
        <is>
          <t>Bobbin / package trolley</t>
        </is>
      </c>
      <c r="C34" s="31" t="n">
        <v>4</v>
      </c>
      <c r="D34" s="31" t="n">
        <v>0</v>
      </c>
      <c r="E34" s="31" t="n">
        <v>4</v>
      </c>
      <c r="F34" s="31">
        <f>IFERROR(MIN(C34,D34)*E34/C34,0)</f>
        <v/>
      </c>
      <c r="G34" s="31" t="n"/>
    </row>
    <row r="35" ht="13.5" customHeight="1" s="20">
      <c r="A35" s="29" t="n">
        <v>20</v>
      </c>
      <c r="B35" s="30" t="inlineStr">
        <is>
          <t>Machine cleaning equipment (suction guns, cleaning brushes, blower machine)</t>
        </is>
      </c>
      <c r="C35" s="31" t="n">
        <v>3</v>
      </c>
      <c r="D35" s="31" t="n">
        <v>0</v>
      </c>
      <c r="E35" s="31" t="n">
        <v>3</v>
      </c>
      <c r="F35" s="31">
        <f>IFERROR(MIN(C35,D35)*E35/C35,0)</f>
        <v/>
      </c>
      <c r="G35" s="31" t="inlineStr">
        <is>
          <t>3 each</t>
        </is>
      </c>
    </row>
    <row r="36" ht="15" customHeight="1" s="20">
      <c r="A36" s="32" t="inlineStr">
        <is>
          <t>Sum</t>
        </is>
      </c>
      <c r="B36" s="24" t="n"/>
      <c r="C36" s="24" t="n"/>
      <c r="D36" s="25" t="n"/>
      <c r="E36" s="32">
        <f>SUM(E16:E35)</f>
        <v/>
      </c>
      <c r="F36" s="32">
        <f>SUM(F16:F35)</f>
        <v/>
      </c>
      <c r="G36" s="33" t="n"/>
    </row>
    <row r="37" ht="15" customHeight="1" s="20">
      <c r="A37" s="32" t="inlineStr">
        <is>
          <t>Score out of 100</t>
        </is>
      </c>
      <c r="B37" s="24" t="n"/>
      <c r="C37" s="24" t="n"/>
      <c r="D37" s="24" t="n"/>
      <c r="E37" s="25" t="n"/>
      <c r="F37" s="32">
        <f>F36/E36*100</f>
        <v/>
      </c>
      <c r="G37" s="33" t="n"/>
    </row>
    <row r="38" ht="9.75" customHeight="1" s="20">
      <c r="A38" s="19" t="n"/>
    </row>
    <row r="39" ht="15" customHeight="1" s="20">
      <c r="A39" s="32" t="inlineStr">
        <is>
          <t xml:space="preserve">Total achieved points out of 30  </t>
        </is>
      </c>
      <c r="B39" s="24" t="n"/>
      <c r="C39" s="24" t="n"/>
      <c r="D39" s="24" t="n"/>
      <c r="E39" s="25" t="n"/>
      <c r="F39" s="32">
        <f>F37*30/100</f>
        <v/>
      </c>
      <c r="G39" s="32" t="inlineStr">
        <is>
          <t>Points</t>
        </is>
      </c>
    </row>
  </sheetData>
  <mergeCells count="8">
    <mergeCell ref="A13:G13"/>
    <mergeCell ref="A39:E39"/>
    <mergeCell ref="C7:G7"/>
    <mergeCell ref="A1:G1"/>
    <mergeCell ref="A38:G38"/>
    <mergeCell ref="A37:E37"/>
    <mergeCell ref="C8:G8"/>
    <mergeCell ref="A36:D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Compliance and Sustainability Issues</t>
        </is>
      </c>
    </row>
    <row r="4" ht="26.25" customHeight="1" s="20">
      <c r="A4" s="22" t="inlineStr">
        <is>
          <t>Number of Trainees:</t>
        </is>
      </c>
      <c r="B4" s="22" t="n">
        <v>25</v>
      </c>
    </row>
    <row r="6" ht="15" customHeight="1" s="20">
      <c r="A6" s="23" t="inlineStr">
        <is>
          <t>Course-wise Training Space (Theoretical Classroom, Workshop/ Lab/ Classroom cum Workshop)</t>
        </is>
      </c>
    </row>
    <row r="7" ht="15" customHeight="1" s="20">
      <c r="B7" s="22" t="inlineStr">
        <is>
          <t>Course Name</t>
        </is>
      </c>
      <c r="C7" s="22" t="inlineStr">
        <is>
          <t>SICIP required space for 25 trainees</t>
        </is>
      </c>
      <c r="D7" s="24" t="n"/>
      <c r="E7" s="24" t="n"/>
      <c r="F7" s="24" t="n"/>
      <c r="G7" s="25" t="n"/>
    </row>
    <row r="8" ht="51.75" customHeight="1" s="20">
      <c r="B8" s="22" t="inlineStr">
        <is>
          <t>Compliance and Sustainability Issues</t>
        </is>
      </c>
      <c r="C8" s="26" t="inlineStr">
        <is>
          <t>Classroom – 350 sft (33 sqm)
Workshop/ lab – 800 sft (75 sqm) OR
Classroom cum workshop – 1000 sft (93 sqm)</t>
        </is>
      </c>
      <c r="D8" s="24" t="n"/>
      <c r="E8" s="24" t="n"/>
      <c r="F8" s="24" t="n"/>
      <c r="G8" s="25"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Compliance and Sustainability Issues,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v>0</v>
      </c>
      <c r="E16" s="31" t="n">
        <v>5</v>
      </c>
      <c r="F16" s="31">
        <f>IFERROR(MIN(C16,D16)*E16/C16,0)</f>
        <v/>
      </c>
      <c r="G16" s="31" t="n"/>
    </row>
    <row r="17" ht="13.5" customHeight="1" s="20">
      <c r="A17" s="29" t="n">
        <v>2</v>
      </c>
      <c r="B17" s="30" t="inlineStr">
        <is>
          <t>Multimedia projector &amp; screen</t>
        </is>
      </c>
      <c r="C17" s="31" t="n">
        <v>1</v>
      </c>
      <c r="D17" s="31" t="n">
        <v>0</v>
      </c>
      <c r="E17" s="31" t="n">
        <v>5</v>
      </c>
      <c r="F17" s="31">
        <f>IFERROR(MIN(C17,D17)*E17/C17,0)</f>
        <v/>
      </c>
      <c r="G17" s="31" t="n"/>
    </row>
    <row r="18" ht="13.5" customHeight="1" s="20">
      <c r="A18" s="29" t="n">
        <v>3</v>
      </c>
      <c r="B18" s="30" t="inlineStr">
        <is>
          <t>Scanner</t>
        </is>
      </c>
      <c r="C18" s="31" t="n">
        <v>1</v>
      </c>
      <c r="D18" s="31" t="n">
        <v>0</v>
      </c>
      <c r="E18" s="31" t="n">
        <v>5</v>
      </c>
      <c r="F18" s="31">
        <f>IFERROR(MIN(C18,D18)*E18/C18,0)</f>
        <v/>
      </c>
      <c r="G18" s="31" t="n"/>
    </row>
    <row r="19" ht="13.5" customHeight="1" s="20">
      <c r="A19" s="29" t="n">
        <v>4</v>
      </c>
      <c r="B19" s="30" t="inlineStr">
        <is>
          <t>Printer</t>
        </is>
      </c>
      <c r="C19" s="31" t="n">
        <v>1</v>
      </c>
      <c r="D19" s="31" t="n">
        <v>0</v>
      </c>
      <c r="E19" s="31" t="n">
        <v>5</v>
      </c>
      <c r="F19" s="31">
        <f>IFERROR(MIN(C19,D19)*E19/C19,0)</f>
        <v/>
      </c>
      <c r="G19" s="31" t="n"/>
    </row>
    <row r="20" ht="13.5" customHeight="1" s="20">
      <c r="A20" s="29" t="n">
        <v>5</v>
      </c>
      <c r="B20" s="30" t="inlineStr">
        <is>
          <t>Internet-enabled devices (router/modem)</t>
        </is>
      </c>
      <c r="C20" s="31" t="n">
        <v>1</v>
      </c>
      <c r="D20" s="31" t="n">
        <v>0</v>
      </c>
      <c r="E20" s="31" t="n">
        <v>5</v>
      </c>
      <c r="F20" s="31">
        <f>IFERROR(MIN(C20,D20)*E20/C20,0)</f>
        <v/>
      </c>
      <c r="G20" s="31" t="n"/>
    </row>
    <row r="21" ht="13.5" customHeight="1" s="20">
      <c r="A21" s="29" t="n">
        <v>6</v>
      </c>
      <c r="B21" s="30" t="inlineStr">
        <is>
          <t>First Aid Box</t>
        </is>
      </c>
      <c r="C21" s="31" t="n">
        <v>5</v>
      </c>
      <c r="D21" s="31" t="n">
        <v>0</v>
      </c>
      <c r="E21" s="31" t="n">
        <v>4</v>
      </c>
      <c r="F21" s="31">
        <f>IFERROR(MIN(C21,D21)*E21/C21,0)</f>
        <v/>
      </c>
      <c r="G21" s="31" t="n"/>
    </row>
    <row r="22" ht="13.5" customHeight="1" s="20">
      <c r="A22" s="29" t="n">
        <v>7</v>
      </c>
      <c r="B22" s="30" t="inlineStr">
        <is>
          <t>Digital Lux meter</t>
        </is>
      </c>
      <c r="C22" s="31" t="n">
        <v>5</v>
      </c>
      <c r="D22" s="31" t="n">
        <v>0</v>
      </c>
      <c r="E22" s="31" t="n">
        <v>6</v>
      </c>
      <c r="F22" s="31">
        <f>IFERROR(MIN(C22,D22)*E22/C22,0)</f>
        <v/>
      </c>
      <c r="G22" s="31" t="n"/>
    </row>
    <row r="23" ht="13.5" customHeight="1" s="20">
      <c r="A23" s="29" t="n">
        <v>8</v>
      </c>
      <c r="B23" s="30" t="inlineStr">
        <is>
          <t>Noise level meter</t>
        </is>
      </c>
      <c r="C23" s="31" t="n">
        <v>5</v>
      </c>
      <c r="D23" s="31" t="n">
        <v>0</v>
      </c>
      <c r="E23" s="31" t="n">
        <v>6</v>
      </c>
      <c r="F23" s="31">
        <f>IFERROR(MIN(C23,D23)*E23/C23,0)</f>
        <v/>
      </c>
      <c r="G23" s="31" t="n"/>
    </row>
    <row r="24" ht="13.5" customHeight="1" s="20">
      <c r="A24" s="29" t="n">
        <v>9</v>
      </c>
      <c r="B24" s="30" t="inlineStr">
        <is>
          <t>Fire Extinguisher (water, foam, CO2, powder)</t>
        </is>
      </c>
      <c r="C24" s="31" t="n">
        <v>5</v>
      </c>
      <c r="D24" s="31" t="n">
        <v>0</v>
      </c>
      <c r="E24" s="31" t="n">
        <v>5</v>
      </c>
      <c r="F24" s="31">
        <f>IFERROR(MIN(C24,D24)*E24/C24,0)</f>
        <v/>
      </c>
      <c r="G24" s="31" t="n"/>
    </row>
    <row r="25" ht="13.5" customHeight="1" s="20">
      <c r="A25" s="29" t="n">
        <v>10</v>
      </c>
      <c r="B25" s="30" t="inlineStr">
        <is>
          <t>Smoke or heat detector</t>
        </is>
      </c>
      <c r="C25" s="31" t="n">
        <v>5</v>
      </c>
      <c r="D25" s="31" t="n">
        <v>0</v>
      </c>
      <c r="E25" s="31" t="n">
        <v>5</v>
      </c>
      <c r="F25" s="31">
        <f>IFERROR(MIN(C25,D25)*E25/C25,0)</f>
        <v/>
      </c>
      <c r="G25" s="31" t="n"/>
    </row>
    <row r="26" ht="13.5" customHeight="1" s="20">
      <c r="A26" s="29" t="n">
        <v>11</v>
      </c>
      <c r="B26" s="30" t="inlineStr">
        <is>
          <t>Rubbermaid Recycling Bins</t>
        </is>
      </c>
      <c r="C26" s="31" t="n">
        <v>5</v>
      </c>
      <c r="D26" s="31" t="n">
        <v>0</v>
      </c>
      <c r="E26" s="31" t="n">
        <v>3</v>
      </c>
      <c r="F26" s="31">
        <f>IFERROR(MIN(C26,D26)*E26/C26,0)</f>
        <v/>
      </c>
      <c r="G26" s="31" t="n"/>
    </row>
    <row r="27" ht="13.5" customHeight="1" s="20">
      <c r="A27" s="29" t="n">
        <v>12</v>
      </c>
      <c r="B27" s="30" t="inlineStr">
        <is>
          <t>Water Testing Kits</t>
        </is>
      </c>
      <c r="C27" s="31" t="n">
        <v>5</v>
      </c>
      <c r="D27" s="31" t="n">
        <v>0</v>
      </c>
      <c r="E27" s="31" t="n">
        <v>6</v>
      </c>
      <c r="F27" s="31">
        <f>IFERROR(MIN(C27,D27)*E27/C27,0)</f>
        <v/>
      </c>
      <c r="G27" s="31" t="n"/>
    </row>
    <row r="28" ht="13.5" customHeight="1" s="20">
      <c r="A28" s="29" t="n">
        <v>13</v>
      </c>
      <c r="B28" s="30" t="inlineStr">
        <is>
          <t>Air Quality Testing Kits</t>
        </is>
      </c>
      <c r="C28" s="31" t="n">
        <v>5</v>
      </c>
      <c r="D28" s="31" t="n">
        <v>0</v>
      </c>
      <c r="E28" s="31" t="n">
        <v>6</v>
      </c>
      <c r="F28" s="31">
        <f>IFERROR(MIN(C28,D28)*E28/C28,0)</f>
        <v/>
      </c>
      <c r="G28" s="31" t="n"/>
    </row>
    <row r="29" ht="15" customHeight="1" s="20">
      <c r="A29" s="32" t="inlineStr">
        <is>
          <t>Sum</t>
        </is>
      </c>
      <c r="B29" s="24" t="n"/>
      <c r="C29" s="24" t="n"/>
      <c r="D29" s="25" t="n"/>
      <c r="E29" s="32">
        <f>SUM(E16:E28)</f>
        <v/>
      </c>
      <c r="F29" s="32">
        <f>SUM(F16:F28)</f>
        <v/>
      </c>
      <c r="G29" s="33" t="n"/>
    </row>
    <row r="30" ht="15" customHeight="1" s="20">
      <c r="A30" s="32" t="inlineStr">
        <is>
          <t>Score out of 100</t>
        </is>
      </c>
      <c r="B30" s="24" t="n"/>
      <c r="C30" s="24" t="n"/>
      <c r="D30" s="24" t="n"/>
      <c r="E30" s="25" t="n"/>
      <c r="F30" s="32">
        <f>F29/E29*100</f>
        <v/>
      </c>
      <c r="G30" s="33" t="n"/>
    </row>
    <row r="31" ht="9.75" customHeight="1" s="20">
      <c r="A31" s="19" t="n"/>
    </row>
    <row r="32" ht="15" customHeight="1" s="20">
      <c r="A32" s="32" t="inlineStr">
        <is>
          <t xml:space="preserve">Total achieved points out of 30  </t>
        </is>
      </c>
      <c r="B32" s="24" t="n"/>
      <c r="C32" s="24" t="n"/>
      <c r="D32" s="24" t="n"/>
      <c r="E32" s="25" t="n"/>
      <c r="F32" s="32">
        <f>F30*30/100</f>
        <v/>
      </c>
      <c r="G32" s="32" t="inlineStr">
        <is>
          <t>Points</t>
        </is>
      </c>
    </row>
  </sheetData>
  <mergeCells count="8">
    <mergeCell ref="A30:E30"/>
    <mergeCell ref="A13:G13"/>
    <mergeCell ref="C7:G7"/>
    <mergeCell ref="A1:G1"/>
    <mergeCell ref="A31:G31"/>
    <mergeCell ref="A29:D29"/>
    <mergeCell ref="A32:E32"/>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K45" activeCellId="0" sqref="K45"/>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Maintenance of Jute Mills Machinery</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Maintenance of Jute Mills Machinery</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Maintenance of Jute Mills Machinery,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v>
      </c>
      <c r="D16" s="31" t="n">
        <v>0</v>
      </c>
      <c r="E16" s="31" t="n">
        <v>5</v>
      </c>
      <c r="F16" s="31">
        <f>IFERROR(MIN(C16,D16)*E16/C16,0)</f>
        <v/>
      </c>
      <c r="G16" s="31" t="n"/>
    </row>
    <row r="17" ht="13.5" customHeight="1" s="20">
      <c r="A17" s="29" t="n">
        <v>2</v>
      </c>
      <c r="B17" s="30" t="inlineStr">
        <is>
          <t>Instructor Computer/Laptop</t>
        </is>
      </c>
      <c r="C17" s="31" t="n">
        <v>1</v>
      </c>
      <c r="D17" s="31" t="n">
        <v>0</v>
      </c>
      <c r="E17" s="31" t="n">
        <v>5</v>
      </c>
      <c r="F17" s="31">
        <f>IFERROR(MIN(C17,D17)*E17/C17,0)</f>
        <v/>
      </c>
      <c r="G17" s="31" t="n"/>
    </row>
    <row r="18" ht="13.5" customHeight="1" s="20">
      <c r="A18" s="29" t="n">
        <v>3</v>
      </c>
      <c r="B18" s="30" t="inlineStr">
        <is>
          <t>Multimedia Projector</t>
        </is>
      </c>
      <c r="C18" s="31" t="n">
        <v>1</v>
      </c>
      <c r="D18" s="31" t="n">
        <v>0</v>
      </c>
      <c r="E18" s="31" t="n">
        <v>5</v>
      </c>
      <c r="F18" s="31">
        <f>IFERROR(MIN(C18,D18)*E18/C18,0)</f>
        <v/>
      </c>
      <c r="G18" s="31" t="n"/>
    </row>
    <row r="19" ht="13.5" customHeight="1" s="20">
      <c r="A19" s="29" t="n">
        <v>4</v>
      </c>
      <c r="B19" s="30" t="inlineStr">
        <is>
          <t>Whiteboard and markers</t>
        </is>
      </c>
      <c r="C19" s="31" t="n">
        <v>1</v>
      </c>
      <c r="D19" s="31" t="n">
        <v>0</v>
      </c>
      <c r="E19" s="31" t="n">
        <v>3</v>
      </c>
      <c r="F19" s="31">
        <f>IFERROR(MIN(C19,D19)*E19/C19,0)</f>
        <v/>
      </c>
      <c r="G19" s="31" t="n"/>
    </row>
    <row r="20" ht="13.5" customHeight="1" s="20">
      <c r="A20" s="29" t="n">
        <v>5</v>
      </c>
      <c r="B20" s="30" t="inlineStr">
        <is>
          <t>Flip chart stands with paper</t>
        </is>
      </c>
      <c r="C20" s="31" t="n">
        <v>1</v>
      </c>
      <c r="D20" s="31" t="n">
        <v>0</v>
      </c>
      <c r="E20" s="31" t="n">
        <v>3</v>
      </c>
      <c r="F20" s="31">
        <f>IFERROR(MIN(C20,D20)*E20/C20,0)</f>
        <v/>
      </c>
      <c r="G20" s="31" t="n"/>
    </row>
    <row r="21" ht="13.5" customHeight="1" s="20">
      <c r="A21" s="29" t="n">
        <v>6</v>
      </c>
      <c r="B21" s="30" t="inlineStr">
        <is>
          <t>Printer</t>
        </is>
      </c>
      <c r="C21" s="31" t="n">
        <v>1</v>
      </c>
      <c r="D21" s="31" t="n">
        <v>0</v>
      </c>
      <c r="E21" s="31" t="n">
        <v>5</v>
      </c>
      <c r="F21" s="31">
        <f>IFERROR(MIN(C21,D21)*E21/C21,0)</f>
        <v/>
      </c>
      <c r="G21" s="31" t="n"/>
    </row>
    <row r="22" ht="13.5" customHeight="1" s="20">
      <c r="A22" s="29" t="n">
        <v>7</v>
      </c>
      <c r="B22" s="30" t="inlineStr">
        <is>
          <t>Scanner</t>
        </is>
      </c>
      <c r="C22" s="31" t="n">
        <v>1</v>
      </c>
      <c r="D22" s="31" t="n">
        <v>0</v>
      </c>
      <c r="E22" s="31" t="n">
        <v>5</v>
      </c>
      <c r="F22" s="31">
        <f>IFERROR(MIN(C22,D22)*E22/C22,0)</f>
        <v/>
      </c>
      <c r="G22" s="31" t="n"/>
    </row>
    <row r="23" ht="13.5" customHeight="1" s="20">
      <c r="A23" s="29" t="n">
        <v>8</v>
      </c>
      <c r="B23" s="30" t="inlineStr">
        <is>
          <t>Dust shaker machine</t>
        </is>
      </c>
      <c r="C23" s="31" t="n">
        <v>1</v>
      </c>
      <c r="D23" s="31" t="n">
        <v>0</v>
      </c>
      <c r="E23" s="31" t="n">
        <v>6</v>
      </c>
      <c r="F23" s="31">
        <f>IFERROR(MIN(C23,D23)*E23/C23,0)</f>
        <v/>
      </c>
      <c r="G23" s="31" t="n"/>
    </row>
    <row r="24" ht="13.5" customHeight="1" s="20">
      <c r="A24" s="29" t="n">
        <v>9</v>
      </c>
      <c r="B24" s="30" t="inlineStr">
        <is>
          <t>Emulsion plant</t>
        </is>
      </c>
      <c r="C24" s="31" t="n">
        <v>1</v>
      </c>
      <c r="D24" s="31" t="n">
        <v>0</v>
      </c>
      <c r="E24" s="31" t="n">
        <v>6</v>
      </c>
      <c r="F24" s="31">
        <f>IFERROR(MIN(C24,D24)*E24/C24,0)</f>
        <v/>
      </c>
      <c r="G24" s="31" t="n"/>
    </row>
    <row r="25" ht="13.5" customHeight="1" s="20">
      <c r="A25" s="29" t="n">
        <v>10</v>
      </c>
      <c r="B25" s="30" t="inlineStr">
        <is>
          <t>Softener</t>
        </is>
      </c>
      <c r="C25" s="31" t="n">
        <v>1</v>
      </c>
      <c r="D25" s="31" t="n">
        <v>0</v>
      </c>
      <c r="E25" s="31" t="n">
        <v>6</v>
      </c>
      <c r="F25" s="31">
        <f>IFERROR(MIN(C25,D25)*E25/C25,0)</f>
        <v/>
      </c>
      <c r="G25" s="31" t="n"/>
    </row>
    <row r="26" ht="13.5" customHeight="1" s="20">
      <c r="A26" s="29" t="n">
        <v>11</v>
      </c>
      <c r="B26" s="30" t="inlineStr">
        <is>
          <t>Spaeder</t>
        </is>
      </c>
      <c r="C26" s="31" t="n">
        <v>1</v>
      </c>
      <c r="D26" s="31" t="n">
        <v>0</v>
      </c>
      <c r="E26" s="31" t="n">
        <v>6</v>
      </c>
      <c r="F26" s="31">
        <f>IFERROR(MIN(C26,D26)*E26/C26,0)</f>
        <v/>
      </c>
      <c r="G26" s="31" t="n"/>
    </row>
    <row r="27" ht="13.5" customHeight="1" s="20">
      <c r="A27" s="29" t="n">
        <v>12</v>
      </c>
      <c r="B27" s="30" t="inlineStr">
        <is>
          <t>Breaker Card machine</t>
        </is>
      </c>
      <c r="C27" s="31" t="n">
        <v>1</v>
      </c>
      <c r="D27" s="31" t="n">
        <v>0</v>
      </c>
      <c r="E27" s="31" t="n">
        <v>9</v>
      </c>
      <c r="F27" s="31">
        <f>IFERROR(MIN(C27,D27)*E27/C27,0)</f>
        <v/>
      </c>
      <c r="G27" s="31" t="n"/>
    </row>
    <row r="28" ht="13.5" customHeight="1" s="20">
      <c r="A28" s="29" t="n">
        <v>13</v>
      </c>
      <c r="B28" s="30" t="inlineStr">
        <is>
          <t>Finisher Card machine</t>
        </is>
      </c>
      <c r="C28" s="31" t="n">
        <v>1</v>
      </c>
      <c r="D28" s="31" t="n">
        <v>0</v>
      </c>
      <c r="E28" s="31" t="n">
        <v>9</v>
      </c>
      <c r="F28" s="31">
        <f>IFERROR(MIN(C28,D28)*E28/C28,0)</f>
        <v/>
      </c>
      <c r="G28" s="31" t="n"/>
    </row>
    <row r="29" ht="13.5" customHeight="1" s="20">
      <c r="A29" s="29" t="n">
        <v>14</v>
      </c>
      <c r="B29" s="30" t="inlineStr">
        <is>
          <t>Drawing Machine</t>
        </is>
      </c>
      <c r="C29" s="31" t="n">
        <v>1</v>
      </c>
      <c r="D29" s="31" t="n">
        <v>0</v>
      </c>
      <c r="E29" s="31" t="n">
        <v>9</v>
      </c>
      <c r="F29" s="31">
        <f>IFERROR(MIN(C29,D29)*E29/C29,0)</f>
        <v/>
      </c>
      <c r="G29" s="31" t="n"/>
    </row>
    <row r="30" ht="13.5" customHeight="1" s="20">
      <c r="A30" s="29" t="n">
        <v>15</v>
      </c>
      <c r="B30" s="30" t="inlineStr">
        <is>
          <t>Spinning Machine</t>
        </is>
      </c>
      <c r="C30" s="31" t="n">
        <v>1</v>
      </c>
      <c r="D30" s="31" t="n">
        <v>0</v>
      </c>
      <c r="E30" s="31" t="n">
        <v>10</v>
      </c>
      <c r="F30" s="31">
        <f>IFERROR(MIN(C30,D30)*E30/C30,0)</f>
        <v/>
      </c>
      <c r="G30" s="31" t="n"/>
    </row>
    <row r="31" ht="13.5" customHeight="1" s="20">
      <c r="A31" s="29" t="n">
        <v>16</v>
      </c>
      <c r="B31" s="30" t="inlineStr">
        <is>
          <t>Winding Machine</t>
        </is>
      </c>
      <c r="C31" s="31" t="n">
        <v>1</v>
      </c>
      <c r="D31" s="31" t="n">
        <v>0</v>
      </c>
      <c r="E31" s="31" t="n">
        <v>9</v>
      </c>
      <c r="F31" s="31">
        <f>IFERROR(MIN(C31,D31)*E31/C31,0)</f>
        <v/>
      </c>
      <c r="G31" s="31" t="n"/>
    </row>
    <row r="32" ht="13.5" customHeight="1" s="20">
      <c r="A32" s="29" t="n">
        <v>17</v>
      </c>
      <c r="B32" s="30" t="inlineStr">
        <is>
          <t>Beaming</t>
        </is>
      </c>
      <c r="C32" s="31" t="n">
        <v>1</v>
      </c>
      <c r="D32" s="31" t="n">
        <v>0</v>
      </c>
      <c r="E32" s="31" t="n">
        <v>9</v>
      </c>
      <c r="F32" s="31">
        <f>IFERROR(MIN(C32,D32)*E32/C32,0)</f>
        <v/>
      </c>
      <c r="G32" s="31" t="n"/>
    </row>
    <row r="33" ht="13.5" customHeight="1" s="20">
      <c r="A33" s="29" t="n">
        <v>18</v>
      </c>
      <c r="B33" s="30" t="inlineStr">
        <is>
          <t>Weaving Machine</t>
        </is>
      </c>
      <c r="C33" s="31" t="n">
        <v>1</v>
      </c>
      <c r="D33" s="31" t="n">
        <v>0</v>
      </c>
      <c r="E33" s="31" t="n">
        <v>10</v>
      </c>
      <c r="F33" s="31">
        <f>IFERROR(MIN(C33,D33)*E33/C33,0)</f>
        <v/>
      </c>
      <c r="G33" s="31" t="n"/>
    </row>
    <row r="34" ht="13.5" customHeight="1" s="20">
      <c r="A34" s="29" t="n">
        <v>19</v>
      </c>
      <c r="B34" s="30" t="inlineStr">
        <is>
          <t>Inspection machine</t>
        </is>
      </c>
      <c r="C34" s="31" t="n">
        <v>1</v>
      </c>
      <c r="D34" s="31" t="n">
        <v>0</v>
      </c>
      <c r="E34" s="31" t="n">
        <v>7</v>
      </c>
      <c r="F34" s="31">
        <f>IFERROR(MIN(C34,D34)*E34/C34,0)</f>
        <v/>
      </c>
      <c r="G34" s="31" t="n"/>
    </row>
    <row r="35" ht="13.5" customHeight="1" s="20">
      <c r="A35" s="29" t="n">
        <v>20</v>
      </c>
      <c r="B35" s="30" t="inlineStr">
        <is>
          <t>Lapping machine</t>
        </is>
      </c>
      <c r="C35" s="31" t="n">
        <v>1</v>
      </c>
      <c r="D35" s="31" t="n">
        <v>0</v>
      </c>
      <c r="E35" s="31" t="n">
        <v>8</v>
      </c>
      <c r="F35" s="31">
        <f>IFERROR(MIN(C35,D35)*E35/C35,0)</f>
        <v/>
      </c>
      <c r="G35" s="31" t="n"/>
    </row>
    <row r="36" ht="13.5" customHeight="1" s="20">
      <c r="A36" s="29" t="n">
        <v>21</v>
      </c>
      <c r="B36" s="30" t="inlineStr">
        <is>
          <t>Rolling Up</t>
        </is>
      </c>
      <c r="C36" s="31" t="n">
        <v>1</v>
      </c>
      <c r="D36" s="31" t="n">
        <v>0</v>
      </c>
      <c r="E36" s="31" t="n">
        <v>6</v>
      </c>
      <c r="F36" s="31">
        <f>IFERROR(MIN(C36,D36)*E36/C36,0)</f>
        <v/>
      </c>
      <c r="G36" s="31" t="n"/>
    </row>
    <row r="37" ht="13.5" customHeight="1" s="20">
      <c r="A37" s="29" t="n">
        <v>22</v>
      </c>
      <c r="B37" s="30" t="inlineStr">
        <is>
          <t>Cutting Machine</t>
        </is>
      </c>
      <c r="C37" s="31" t="n">
        <v>1</v>
      </c>
      <c r="D37" s="31" t="n">
        <v>0</v>
      </c>
      <c r="E37" s="31" t="n">
        <v>8</v>
      </c>
      <c r="F37" s="31">
        <f>IFERROR(MIN(C37,D37)*E37/C37,0)</f>
        <v/>
      </c>
      <c r="G37" s="31" t="n"/>
    </row>
    <row r="38" ht="13.5" customHeight="1" s="20">
      <c r="A38" s="29" t="n">
        <v>23</v>
      </c>
      <c r="B38" s="30" t="inlineStr">
        <is>
          <t>Sewing Machine (Hemming-01, Herackle-01, Safety Sewing-01, Over Head Dry/ Tar Sewing</t>
        </is>
      </c>
      <c r="C38" s="31" t="n">
        <v>1</v>
      </c>
      <c r="D38" s="31" t="n">
        <v>0</v>
      </c>
      <c r="E38" s="31" t="n">
        <v>7</v>
      </c>
      <c r="F38" s="31">
        <f>IFERROR(MIN(C38,D38)*E38/C38,0)</f>
        <v/>
      </c>
      <c r="G38" s="31" t="n"/>
    </row>
    <row r="39" ht="13.5" customHeight="1" s="20">
      <c r="A39" s="29" t="n">
        <v>24</v>
      </c>
      <c r="B39" s="30" t="inlineStr">
        <is>
          <t>Measuring Steel Tape</t>
        </is>
      </c>
      <c r="C39" s="31" t="n">
        <v>1</v>
      </c>
      <c r="D39" s="31" t="n">
        <v>0</v>
      </c>
      <c r="E39" s="31" t="n">
        <v>3</v>
      </c>
      <c r="F39" s="31">
        <f>IFERROR(MIN(C39,D39)*E39/C39,0)</f>
        <v/>
      </c>
      <c r="G39" s="31" t="n"/>
    </row>
    <row r="40" ht="13.5" customHeight="1" s="20">
      <c r="A40" s="29" t="n">
        <v>25</v>
      </c>
      <c r="B40" s="30" t="inlineStr">
        <is>
          <t>Moisture Meter</t>
        </is>
      </c>
      <c r="C40" s="31" t="n">
        <v>1</v>
      </c>
      <c r="D40" s="31" t="n">
        <v>0</v>
      </c>
      <c r="E40" s="31" t="n">
        <v>5</v>
      </c>
      <c r="F40" s="31">
        <f>IFERROR(MIN(C40,D40)*E40/C40,0)</f>
        <v/>
      </c>
      <c r="G40" s="31" t="n"/>
    </row>
    <row r="41" ht="13.5" customHeight="1" s="20">
      <c r="A41" s="29" t="n">
        <v>26</v>
      </c>
      <c r="B41" s="30" t="inlineStr">
        <is>
          <t>Tucking device</t>
        </is>
      </c>
      <c r="C41" s="31" t="n">
        <v>1</v>
      </c>
      <c r="D41" s="31" t="n">
        <v>0</v>
      </c>
      <c r="E41" s="31" t="n">
        <v>5</v>
      </c>
      <c r="F41" s="31">
        <f>IFERROR(MIN(C41,D41)*E41/C41,0)</f>
        <v/>
      </c>
      <c r="G41" s="31" t="n"/>
    </row>
    <row r="42" ht="13.5" customHeight="1" s="20">
      <c r="A42" s="29" t="n">
        <v>27</v>
      </c>
      <c r="B42" s="30" t="inlineStr">
        <is>
          <t>Loom Dropper</t>
        </is>
      </c>
      <c r="C42" s="31" t="n">
        <v>1</v>
      </c>
      <c r="D42" s="31" t="n">
        <v>0</v>
      </c>
      <c r="E42" s="31" t="n">
        <v>5</v>
      </c>
      <c r="F42" s="31">
        <f>IFERROR(MIN(C42,D42)*E42/C42,0)</f>
        <v/>
      </c>
      <c r="G42" s="31" t="n"/>
    </row>
    <row r="43" ht="13.5" customHeight="1" s="20">
      <c r="A43" s="29" t="n">
        <v>28</v>
      </c>
      <c r="B43" s="30" t="inlineStr">
        <is>
          <t>Heald Wires</t>
        </is>
      </c>
      <c r="C43" s="31" t="n">
        <v>1</v>
      </c>
      <c r="D43" s="31" t="n">
        <v>0</v>
      </c>
      <c r="E43" s="31" t="n">
        <v>4</v>
      </c>
      <c r="F43" s="31">
        <f>IFERROR(MIN(C43,D43)*E43/C43,0)</f>
        <v/>
      </c>
      <c r="G43" s="31" t="n"/>
    </row>
    <row r="44" ht="13.5" customHeight="1" s="20">
      <c r="A44" s="29" t="n">
        <v>29</v>
      </c>
      <c r="B44" s="30" t="inlineStr">
        <is>
          <t>Mechanical kit box</t>
        </is>
      </c>
      <c r="C44" s="31" t="n">
        <v>1</v>
      </c>
      <c r="D44" s="31" t="n">
        <v>0</v>
      </c>
      <c r="E44" s="31" t="n">
        <v>4</v>
      </c>
      <c r="F44" s="31">
        <f>IFERROR(MIN(C44,D44)*E44/C44,0)</f>
        <v/>
      </c>
      <c r="G44" s="31" t="n"/>
    </row>
    <row r="45" ht="13.5" customHeight="1" s="20">
      <c r="A45" s="29" t="n">
        <v>30</v>
      </c>
      <c r="B45" s="30" t="inlineStr">
        <is>
          <t>Digital scale</t>
        </is>
      </c>
      <c r="C45" s="31" t="n">
        <v>1</v>
      </c>
      <c r="D45" s="31" t="n">
        <v>0</v>
      </c>
      <c r="E45" s="31" t="n">
        <v>4</v>
      </c>
      <c r="F45" s="31">
        <f>IFERROR(MIN(C45,D45)*E45/C45,0)</f>
        <v/>
      </c>
      <c r="G45" s="31" t="n"/>
    </row>
    <row r="46" ht="13.5" customHeight="1" s="20">
      <c r="A46" s="29" t="n">
        <v>31</v>
      </c>
      <c r="B46" s="30" t="inlineStr">
        <is>
          <t>First aid kit</t>
        </is>
      </c>
      <c r="C46" s="31" t="n">
        <v>1</v>
      </c>
      <c r="D46" s="31" t="n">
        <v>0</v>
      </c>
      <c r="E46" s="31" t="n">
        <v>3</v>
      </c>
      <c r="F46" s="31">
        <f>IFERROR(MIN(C46,D46)*E46/C46,0)</f>
        <v/>
      </c>
      <c r="G46" s="31" t="n"/>
    </row>
    <row r="47" ht="13.5" customHeight="1" s="20">
      <c r="A47" s="29" t="n">
        <v>32</v>
      </c>
      <c r="B47" s="30" t="inlineStr">
        <is>
          <t>Fire extinguisher (for safety demonstration)</t>
        </is>
      </c>
      <c r="C47" s="31" t="n">
        <v>2</v>
      </c>
      <c r="D47" s="31" t="n">
        <v>0</v>
      </c>
      <c r="E47" s="31" t="n">
        <v>3</v>
      </c>
      <c r="F47" s="31">
        <f>IFERROR(MIN(C47,D47)*E47/C47,0)</f>
        <v/>
      </c>
      <c r="G47" s="31" t="n"/>
    </row>
    <row r="48" ht="15" customHeight="1" s="20">
      <c r="A48" s="32" t="inlineStr">
        <is>
          <t>Sum</t>
        </is>
      </c>
      <c r="B48" s="24" t="n"/>
      <c r="C48" s="24" t="n"/>
      <c r="D48" s="25" t="n"/>
      <c r="E48" s="32">
        <f>SUM(E16:E47)</f>
        <v/>
      </c>
      <c r="F48" s="32">
        <f>SUM(F16:F47)</f>
        <v/>
      </c>
      <c r="G48" s="33" t="n"/>
    </row>
    <row r="49" ht="15" customHeight="1" s="20">
      <c r="A49" s="32" t="inlineStr">
        <is>
          <t>Score out of 100</t>
        </is>
      </c>
      <c r="B49" s="24" t="n"/>
      <c r="C49" s="24" t="n"/>
      <c r="D49" s="24" t="n"/>
      <c r="E49" s="25" t="n"/>
      <c r="F49" s="32">
        <f>F48/E48*100</f>
        <v/>
      </c>
      <c r="G49" s="33" t="n"/>
    </row>
    <row r="50" ht="9.75" customHeight="1" s="20">
      <c r="A50" s="19" t="n"/>
    </row>
    <row r="51" ht="15" customHeight="1" s="20">
      <c r="A51" s="32" t="inlineStr">
        <is>
          <t xml:space="preserve">Total achieved points out of 30  </t>
        </is>
      </c>
      <c r="B51" s="24" t="n"/>
      <c r="C51" s="24" t="n"/>
      <c r="D51" s="24" t="n"/>
      <c r="E51" s="25" t="n"/>
      <c r="F51" s="32">
        <f>F49*30/100</f>
        <v/>
      </c>
      <c r="G51" s="32" t="inlineStr">
        <is>
          <t>Points</t>
        </is>
      </c>
    </row>
  </sheetData>
  <mergeCells count="8">
    <mergeCell ref="A13:G13"/>
    <mergeCell ref="C7:G7"/>
    <mergeCell ref="A1:G1"/>
    <mergeCell ref="A48:D48"/>
    <mergeCell ref="A50:G50"/>
    <mergeCell ref="A49:E49"/>
    <mergeCell ref="A51:E51"/>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53"/>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J13" activeCellId="0" sqref="J13"/>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15" customHeight="1" s="20">
      <c r="A3" s="22" t="inlineStr">
        <is>
          <t>Course Name:</t>
        </is>
      </c>
      <c r="B3" s="22" t="inlineStr">
        <is>
          <t>Merchandising</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Merchandising</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Merchandising,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15</v>
      </c>
      <c r="D16" s="31" t="n">
        <v>0</v>
      </c>
      <c r="E16" s="31" t="n">
        <v>5</v>
      </c>
      <c r="F16" s="31">
        <f>IFERROR(MIN(C16,D16)*E16/C16,0)</f>
        <v/>
      </c>
      <c r="G16" s="31" t="n"/>
    </row>
    <row r="17" ht="13.5" customHeight="1" s="20">
      <c r="A17" s="29" t="n">
        <v>2</v>
      </c>
      <c r="B17" s="30" t="inlineStr">
        <is>
          <t>Instructor Computer</t>
        </is>
      </c>
      <c r="C17" s="31" t="n">
        <v>1</v>
      </c>
      <c r="D17" s="31" t="n">
        <v>0</v>
      </c>
      <c r="E17" s="31" t="n">
        <v>5</v>
      </c>
      <c r="F17" s="31">
        <f>IFERROR(MIN(C17,D17)*E17/C17,0)</f>
        <v/>
      </c>
      <c r="G17" s="31" t="n"/>
    </row>
    <row r="18" ht="13.5" customHeight="1" s="20">
      <c r="A18" s="29" t="n">
        <v>3</v>
      </c>
      <c r="B18" s="30" t="inlineStr">
        <is>
          <t>Multimedia Projector</t>
        </is>
      </c>
      <c r="C18" s="31" t="n">
        <v>1</v>
      </c>
      <c r="D18" s="31" t="n">
        <v>0</v>
      </c>
      <c r="E18" s="31" t="n">
        <v>5</v>
      </c>
      <c r="F18" s="31">
        <f>IFERROR(MIN(C18,D18)*E18/C18,0)</f>
        <v/>
      </c>
      <c r="G18" s="31" t="n"/>
    </row>
    <row r="19" ht="13.5" customHeight="1" s="20">
      <c r="A19" s="29" t="n">
        <v>4</v>
      </c>
      <c r="B19" s="30" t="inlineStr">
        <is>
          <t>Whiteboard and markers</t>
        </is>
      </c>
      <c r="C19" s="31" t="n">
        <v>1</v>
      </c>
      <c r="D19" s="31" t="n">
        <v>0</v>
      </c>
      <c r="E19" s="31" t="n">
        <v>3</v>
      </c>
      <c r="F19" s="31">
        <f>IFERROR(MIN(C19,D19)*E19/C19,0)</f>
        <v/>
      </c>
      <c r="G19" s="31" t="n"/>
    </row>
    <row r="20" ht="13.5" customHeight="1" s="20">
      <c r="A20" s="29" t="n">
        <v>5</v>
      </c>
      <c r="B20" s="30" t="inlineStr">
        <is>
          <t>Flip chart stand with paper</t>
        </is>
      </c>
      <c r="C20" s="31" t="n">
        <v>2</v>
      </c>
      <c r="D20" s="31" t="n">
        <v>0</v>
      </c>
      <c r="E20" s="31" t="n">
        <v>3</v>
      </c>
      <c r="F20" s="31">
        <f>IFERROR(MIN(C20,D20)*E20/C20,0)</f>
        <v/>
      </c>
      <c r="G20" s="31" t="n"/>
    </row>
    <row r="21" ht="13.5" customHeight="1" s="20">
      <c r="A21" s="29" t="n">
        <v>6</v>
      </c>
      <c r="B21" s="30" t="inlineStr">
        <is>
          <t>Printer</t>
        </is>
      </c>
      <c r="C21" s="31" t="n">
        <v>1</v>
      </c>
      <c r="D21" s="31" t="n">
        <v>0</v>
      </c>
      <c r="E21" s="31" t="n">
        <v>5</v>
      </c>
      <c r="F21" s="31">
        <f>IFERROR(MIN(C21,D21)*E21/C21,0)</f>
        <v/>
      </c>
      <c r="G21" s="31" t="n"/>
    </row>
    <row r="22" ht="13.5" customHeight="1" s="20">
      <c r="A22" s="29" t="n">
        <v>7</v>
      </c>
      <c r="B22" s="30" t="inlineStr">
        <is>
          <t>Flatbed Scanner</t>
        </is>
      </c>
      <c r="C22" s="31" t="n">
        <v>1</v>
      </c>
      <c r="D22" s="31" t="n">
        <v>0</v>
      </c>
      <c r="E22" s="31" t="n">
        <v>5</v>
      </c>
      <c r="F22" s="31">
        <f>IFERROR(MIN(C22,D22)*E22/C22,0)</f>
        <v/>
      </c>
      <c r="G22" s="31" t="n"/>
    </row>
    <row r="23" ht="13.5" customHeight="1" s="20">
      <c r="A23" s="29" t="n">
        <v>8</v>
      </c>
      <c r="B23" s="30" t="inlineStr">
        <is>
          <t>Merchandising/ERP Software</t>
        </is>
      </c>
      <c r="C23" s="31" t="n">
        <v>5</v>
      </c>
      <c r="D23" s="31" t="n">
        <v>0</v>
      </c>
      <c r="E23" s="31" t="n">
        <v>8</v>
      </c>
      <c r="F23" s="31">
        <f>IFERROR(MIN(C23,D23)*E23/C23,0)</f>
        <v/>
      </c>
      <c r="G23" s="31" t="n"/>
    </row>
    <row r="24" ht="13.5" customHeight="1" s="20">
      <c r="A24" s="29" t="n">
        <v>9</v>
      </c>
      <c r="B24" s="30" t="inlineStr">
        <is>
          <t>Jute Fiber Sample Collection</t>
        </is>
      </c>
      <c r="C24" s="31" t="n">
        <v>1</v>
      </c>
      <c r="D24" s="31" t="n">
        <v>0</v>
      </c>
      <c r="E24" s="31" t="n">
        <v>6</v>
      </c>
      <c r="F24" s="31">
        <f>IFERROR(MIN(C24,D24)*E24/C24,0)</f>
        <v/>
      </c>
      <c r="G24" s="31" t="n"/>
    </row>
    <row r="25" ht="13.5" customHeight="1" s="20">
      <c r="A25" s="29" t="n">
        <v>10</v>
      </c>
      <c r="B25" s="30" t="inlineStr">
        <is>
          <t>Jute Yarn Sample Collection</t>
        </is>
      </c>
      <c r="C25" s="31" t="n">
        <v>1</v>
      </c>
      <c r="D25" s="31" t="n">
        <v>0</v>
      </c>
      <c r="E25" s="31" t="n">
        <v>6</v>
      </c>
      <c r="F25" s="31">
        <f>IFERROR(MIN(C25,D25)*E25/C25,0)</f>
        <v/>
      </c>
      <c r="G25" s="31" t="n"/>
    </row>
    <row r="26" ht="13.5" customHeight="1" s="20">
      <c r="A26" s="29" t="n">
        <v>11</v>
      </c>
      <c r="B26" s="30" t="inlineStr">
        <is>
          <t>Jute Fabric Sample Collection</t>
        </is>
      </c>
      <c r="C26" s="31" t="n">
        <v>1</v>
      </c>
      <c r="D26" s="31" t="n">
        <v>0</v>
      </c>
      <c r="E26" s="31" t="n">
        <v>6</v>
      </c>
      <c r="F26" s="31">
        <f>IFERROR(MIN(C26,D26)*E26/C26,0)</f>
        <v/>
      </c>
      <c r="G26" s="31" t="n"/>
    </row>
    <row r="27" ht="13.5" customHeight="1" s="20">
      <c r="A27" s="29" t="n">
        <v>12</v>
      </c>
      <c r="B27" s="30" t="inlineStr">
        <is>
          <t>Diversified Jute Product Sample Set</t>
        </is>
      </c>
      <c r="C27" s="31" t="n">
        <v>1</v>
      </c>
      <c r="D27" s="31" t="n">
        <v>0</v>
      </c>
      <c r="E27" s="31" t="n">
        <v>6</v>
      </c>
      <c r="F27" s="31">
        <f>IFERROR(MIN(C27,D27)*E27/C27,0)</f>
        <v/>
      </c>
      <c r="G27" s="31" t="n"/>
    </row>
    <row r="28" ht="13.5" customHeight="1" s="20">
      <c r="A28" s="29" t="n">
        <v>13</v>
      </c>
      <c r="B28" s="30" t="inlineStr">
        <is>
          <t>Fabric and Yarn Testing Kit</t>
        </is>
      </c>
      <c r="C28" s="31" t="n">
        <v>5</v>
      </c>
      <c r="D28" s="31" t="n">
        <v>0</v>
      </c>
      <c r="E28" s="31" t="n">
        <v>7</v>
      </c>
      <c r="F28" s="31">
        <f>IFERROR(MIN(C28,D28)*E28/C28,0)</f>
        <v/>
      </c>
      <c r="G28" s="31" t="n"/>
    </row>
    <row r="29" ht="13.5" customHeight="1" s="20">
      <c r="A29" s="29" t="n">
        <v>14</v>
      </c>
      <c r="B29" s="30" t="inlineStr">
        <is>
          <t>GSM Cutter and GSM Balance</t>
        </is>
      </c>
      <c r="C29" s="31" t="n">
        <v>2</v>
      </c>
      <c r="D29" s="31" t="n">
        <v>0</v>
      </c>
      <c r="E29" s="31" t="n">
        <v>7</v>
      </c>
      <c r="F29" s="31">
        <f>IFERROR(MIN(C29,D29)*E29/C29,0)</f>
        <v/>
      </c>
      <c r="G29" s="31" t="n"/>
    </row>
    <row r="30" ht="13.5" customHeight="1" s="20">
      <c r="A30" s="29" t="n">
        <v>15</v>
      </c>
      <c r="B30" s="30" t="inlineStr">
        <is>
          <t>Digital Weighing Scale</t>
        </is>
      </c>
      <c r="C30" s="31" t="n">
        <v>2</v>
      </c>
      <c r="D30" s="31" t="n">
        <v>0</v>
      </c>
      <c r="E30" s="31" t="n">
        <v>5</v>
      </c>
      <c r="F30" s="31">
        <f>IFERROR(MIN(C30,D30)*E30/C30,0)</f>
        <v/>
      </c>
      <c r="G30" s="31" t="n"/>
    </row>
    <row r="31" ht="13.5" customHeight="1" s="20">
      <c r="A31" s="29" t="n">
        <v>16</v>
      </c>
      <c r="B31" s="30" t="inlineStr">
        <is>
          <t>Quality Inspection Tools</t>
        </is>
      </c>
      <c r="C31" s="31" t="n">
        <v>5</v>
      </c>
      <c r="D31" s="31" t="n">
        <v>0</v>
      </c>
      <c r="E31" s="31" t="n">
        <v>7</v>
      </c>
      <c r="F31" s="31">
        <f>IFERROR(MIN(C31,D31)*E31/C31,0)</f>
        <v/>
      </c>
      <c r="G31" s="31" t="n"/>
    </row>
    <row r="32" ht="13.5" customHeight="1" s="20">
      <c r="A32" s="29" t="n">
        <v>17</v>
      </c>
      <c r="B32" s="30" t="inlineStr">
        <is>
          <t>Measuring Tapes</t>
        </is>
      </c>
      <c r="C32" s="31" t="n">
        <v>25</v>
      </c>
      <c r="D32" s="31" t="n">
        <v>0</v>
      </c>
      <c r="E32" s="31" t="n">
        <v>3</v>
      </c>
      <c r="F32" s="31">
        <f>IFERROR(MIN(C32,D32)*E32/C32,0)</f>
        <v/>
      </c>
      <c r="G32" s="31" t="n"/>
    </row>
    <row r="33" ht="13.5" customHeight="1" s="20">
      <c r="A33" s="29" t="n">
        <v>18</v>
      </c>
      <c r="B33" s="30" t="inlineStr">
        <is>
          <t>Set squires (Large)</t>
        </is>
      </c>
      <c r="C33" s="31" t="n">
        <v>30</v>
      </c>
      <c r="D33" s="31" t="n">
        <v>0</v>
      </c>
      <c r="E33" s="31" t="n">
        <v>3</v>
      </c>
      <c r="F33" s="31">
        <f>IFERROR(MIN(C33,D33)*E33/C33,0)</f>
        <v/>
      </c>
      <c r="G33" s="31" t="n"/>
    </row>
    <row r="34" ht="13.5" customHeight="1" s="20">
      <c r="A34" s="29" t="n">
        <v>19</v>
      </c>
      <c r="B34" s="30" t="inlineStr">
        <is>
          <t>L-squire</t>
        </is>
      </c>
      <c r="C34" s="31" t="n">
        <v>30</v>
      </c>
      <c r="D34" s="31" t="n">
        <v>0</v>
      </c>
      <c r="E34" s="31" t="n">
        <v>3</v>
      </c>
      <c r="F34" s="31">
        <f>IFERROR(MIN(C34,D34)*E34/C34,0)</f>
        <v/>
      </c>
      <c r="G34" s="31" t="n"/>
    </row>
    <row r="35" ht="13.5" customHeight="1" s="20">
      <c r="A35" s="29" t="n">
        <v>20</v>
      </c>
      <c r="B35" s="30" t="inlineStr">
        <is>
          <t>Scale (12’,18’, 24’, 40’)</t>
        </is>
      </c>
      <c r="C35" s="31" t="n">
        <v>25</v>
      </c>
      <c r="D35" s="31" t="n">
        <v>0</v>
      </c>
      <c r="E35" s="31" t="n">
        <v>3</v>
      </c>
      <c r="F35" s="31">
        <f>IFERROR(MIN(C35,D35)*E35/C35,0)</f>
        <v/>
      </c>
      <c r="G35" s="31" t="n"/>
    </row>
    <row r="36" ht="13.5" customHeight="1" s="20">
      <c r="A36" s="29" t="n">
        <v>21</v>
      </c>
      <c r="B36" s="30" t="inlineStr">
        <is>
          <t>Cutter Board (Large size)</t>
        </is>
      </c>
      <c r="C36" s="31" t="n">
        <v>2</v>
      </c>
      <c r="D36" s="31" t="n">
        <v>0</v>
      </c>
      <c r="E36" s="31" t="n">
        <v>4</v>
      </c>
      <c r="F36" s="31">
        <f>IFERROR(MIN(C36,D36)*E36/C36,0)</f>
        <v/>
      </c>
      <c r="G36" s="31" t="n"/>
    </row>
    <row r="37" ht="13.5" customHeight="1" s="20">
      <c r="A37" s="29" t="n">
        <v>22</v>
      </c>
      <c r="B37" s="30" t="inlineStr">
        <is>
          <t>Pattern Board</t>
        </is>
      </c>
      <c r="C37" s="31" t="n">
        <v>12</v>
      </c>
      <c r="D37" s="31" t="n">
        <v>0</v>
      </c>
      <c r="E37" s="31" t="n">
        <v>6</v>
      </c>
      <c r="F37" s="31">
        <f>IFERROR(MIN(C37,D37)*E37/C37,0)</f>
        <v/>
      </c>
      <c r="G37" s="31" t="n"/>
    </row>
    <row r="38" ht="13.5" customHeight="1" s="20">
      <c r="A38" s="29" t="n">
        <v>23</v>
      </c>
      <c r="B38" s="30" t="inlineStr">
        <is>
          <t>Scissor</t>
        </is>
      </c>
      <c r="C38" s="31" t="n">
        <v>5</v>
      </c>
      <c r="D38" s="31" t="n">
        <v>0</v>
      </c>
      <c r="E38" s="31" t="n">
        <v>3</v>
      </c>
      <c r="F38" s="31">
        <f>IFERROR(MIN(C38,D38)*E38/C38,0)</f>
        <v/>
      </c>
      <c r="G38" s="31" t="n"/>
    </row>
    <row r="39" ht="13.5" customHeight="1" s="20">
      <c r="A39" s="29" t="n">
        <v>24</v>
      </c>
      <c r="B39" s="30" t="inlineStr">
        <is>
          <t>Design instruments Box (set of 20)</t>
        </is>
      </c>
      <c r="C39" s="31" t="n">
        <v>1</v>
      </c>
      <c r="D39" s="31" t="n">
        <v>0</v>
      </c>
      <c r="E39" s="31" t="n">
        <v>4</v>
      </c>
      <c r="F39" s="31">
        <f>IFERROR(MIN(C39,D39)*E39/C39,0)</f>
        <v/>
      </c>
      <c r="G39" s="31" t="n"/>
    </row>
    <row r="40" ht="13.5" customHeight="1" s="20">
      <c r="A40" s="29" t="n">
        <v>25</v>
      </c>
      <c r="B40" s="30" t="inlineStr">
        <is>
          <t>Anty cutter</t>
        </is>
      </c>
      <c r="C40" s="31" t="n">
        <v>7</v>
      </c>
      <c r="D40" s="31" t="n">
        <v>0</v>
      </c>
      <c r="E40" s="31" t="n">
        <v>3</v>
      </c>
      <c r="F40" s="31">
        <f>IFERROR(MIN(C40,D40)*E40/C40,0)</f>
        <v/>
      </c>
      <c r="G40" s="31" t="n"/>
    </row>
    <row r="41" ht="13.5" customHeight="1" s="20">
      <c r="A41" s="29" t="n">
        <v>26</v>
      </c>
      <c r="B41" s="30" t="inlineStr">
        <is>
          <t>Cutting Table with 6 drawers (3’ Hight) (4’x8’)</t>
        </is>
      </c>
      <c r="C41" s="31" t="n">
        <v>1</v>
      </c>
      <c r="D41" s="31" t="n">
        <v>0</v>
      </c>
      <c r="E41" s="31" t="n">
        <v>5</v>
      </c>
      <c r="F41" s="31">
        <f>IFERROR(MIN(C41,D41)*E41/C41,0)</f>
        <v/>
      </c>
      <c r="G41" s="31" t="n"/>
    </row>
    <row r="42" ht="13.5" customHeight="1" s="20">
      <c r="A42" s="29" t="n">
        <v>27</v>
      </c>
      <c r="B42" s="30" t="inlineStr">
        <is>
          <t>Tool</t>
        </is>
      </c>
      <c r="C42" s="31" t="n">
        <v>6</v>
      </c>
      <c r="D42" s="31" t="n">
        <v>0</v>
      </c>
      <c r="E42" s="31" t="n">
        <v>3</v>
      </c>
      <c r="F42" s="31">
        <f>IFERROR(MIN(C42,D42)*E42/C42,0)</f>
        <v/>
      </c>
      <c r="G42" s="31" t="n"/>
    </row>
    <row r="43" ht="13.5" customHeight="1" s="20">
      <c r="A43" s="29" t="n">
        <v>28</v>
      </c>
      <c r="B43" s="30" t="inlineStr">
        <is>
          <t>Led pencil</t>
        </is>
      </c>
      <c r="C43" s="31" t="n">
        <v>7</v>
      </c>
      <c r="D43" s="31" t="n">
        <v>0</v>
      </c>
      <c r="E43" s="31" t="n">
        <v>3</v>
      </c>
      <c r="F43" s="31">
        <f>IFERROR(MIN(C43,D43)*E43/C43,0)</f>
        <v/>
      </c>
      <c r="G43" s="31" t="n"/>
    </row>
    <row r="44" ht="13.5" customHeight="1" s="20">
      <c r="A44" s="29" t="n">
        <v>29</v>
      </c>
      <c r="B44" s="30" t="inlineStr">
        <is>
          <t>Single needle chain stich Sewing Machine</t>
        </is>
      </c>
      <c r="C44" s="31" t="n">
        <v>1</v>
      </c>
      <c r="D44" s="31" t="n">
        <v>0</v>
      </c>
      <c r="E44" s="31" t="n">
        <v>7</v>
      </c>
      <c r="F44" s="31">
        <f>IFERROR(MIN(C44,D44)*E44/C44,0)</f>
        <v/>
      </c>
      <c r="G44" s="31" t="n"/>
    </row>
    <row r="45" ht="13.5" customHeight="1" s="20">
      <c r="A45" s="29" t="n">
        <v>30</v>
      </c>
      <c r="B45" s="30" t="inlineStr">
        <is>
          <t>Packaging Material Sample Set</t>
        </is>
      </c>
      <c r="C45" s="31" t="n">
        <v>1</v>
      </c>
      <c r="D45" s="31" t="n">
        <v>0</v>
      </c>
      <c r="E45" s="31" t="n">
        <v>5</v>
      </c>
      <c r="F45" s="31">
        <f>IFERROR(MIN(C45,D45)*E45/C45,0)</f>
        <v/>
      </c>
      <c r="G45" s="31" t="n"/>
    </row>
    <row r="46" ht="13.5" customHeight="1" s="20">
      <c r="A46" s="29" t="n">
        <v>31</v>
      </c>
      <c r="B46" s="30" t="inlineStr">
        <is>
          <t>Export Documentation Sample Set</t>
        </is>
      </c>
      <c r="C46" s="31" t="n">
        <v>1</v>
      </c>
      <c r="D46" s="31" t="n">
        <v>0</v>
      </c>
      <c r="E46" s="31" t="n">
        <v>8</v>
      </c>
      <c r="F46" s="31">
        <f>IFERROR(MIN(C46,D46)*E46/C46,0)</f>
        <v/>
      </c>
      <c r="G46" s="31" t="n"/>
    </row>
    <row r="47" ht="13.5" customHeight="1" s="20">
      <c r="A47" s="29" t="n">
        <v>32</v>
      </c>
      <c r="B47" s="30" t="inlineStr">
        <is>
          <t>Digital scale</t>
        </is>
      </c>
      <c r="C47" s="31" t="n">
        <v>1</v>
      </c>
      <c r="D47" s="31" t="n">
        <v>0</v>
      </c>
      <c r="E47" s="31" t="n">
        <v>4</v>
      </c>
      <c r="F47" s="31">
        <f>IFERROR(MIN(C47,D47)*E47/C47,0)</f>
        <v/>
      </c>
      <c r="G47" s="31" t="n"/>
    </row>
    <row r="48" ht="13.5" customHeight="1" s="20">
      <c r="A48" s="29" t="n">
        <v>33</v>
      </c>
      <c r="B48" s="30" t="inlineStr">
        <is>
          <t>First aid kit</t>
        </is>
      </c>
      <c r="C48" s="31" t="n">
        <v>1</v>
      </c>
      <c r="D48" s="31" t="n">
        <v>0</v>
      </c>
      <c r="E48" s="31" t="n">
        <v>3</v>
      </c>
      <c r="F48" s="31">
        <f>IFERROR(MIN(C48,D48)*E48/C48,0)</f>
        <v/>
      </c>
      <c r="G48" s="31" t="n"/>
    </row>
    <row r="49" ht="13.5" customHeight="1" s="20">
      <c r="A49" s="29" t="n">
        <v>34</v>
      </c>
      <c r="B49" s="30" t="inlineStr">
        <is>
          <t>Fire extinguisher (for safety demonstration)</t>
        </is>
      </c>
      <c r="C49" s="31" t="n">
        <v>1</v>
      </c>
      <c r="D49" s="31" t="n">
        <v>0</v>
      </c>
      <c r="E49" s="31" t="n">
        <v>3</v>
      </c>
      <c r="F49" s="31">
        <f>IFERROR(MIN(C49,D49)*E49/C49,0)</f>
        <v/>
      </c>
      <c r="G49" s="31" t="n"/>
    </row>
    <row r="50" ht="15" customHeight="1" s="20">
      <c r="A50" s="32" t="inlineStr">
        <is>
          <t>Sum</t>
        </is>
      </c>
      <c r="B50" s="24" t="n"/>
      <c r="C50" s="24" t="n"/>
      <c r="D50" s="25" t="n"/>
      <c r="E50" s="32">
        <f>SUM(E16:E49)</f>
        <v/>
      </c>
      <c r="F50" s="32">
        <f>SUM(F16:F49)</f>
        <v/>
      </c>
      <c r="G50" s="33" t="n"/>
    </row>
    <row r="51" ht="15" customHeight="1" s="20">
      <c r="A51" s="32" t="inlineStr">
        <is>
          <t>Score out of 100</t>
        </is>
      </c>
      <c r="B51" s="24" t="n"/>
      <c r="C51" s="24" t="n"/>
      <c r="D51" s="24" t="n"/>
      <c r="E51" s="25" t="n"/>
      <c r="F51" s="32">
        <f>F50/E50*100</f>
        <v/>
      </c>
      <c r="G51" s="33" t="n"/>
    </row>
    <row r="52" ht="9.75" customHeight="1" s="20">
      <c r="A52" s="19" t="n"/>
    </row>
    <row r="53" ht="15" customHeight="1" s="20">
      <c r="A53" s="32" t="inlineStr">
        <is>
          <t xml:space="preserve">Total achieved points out of 30  </t>
        </is>
      </c>
      <c r="B53" s="24" t="n"/>
      <c r="C53" s="24" t="n"/>
      <c r="D53" s="24" t="n"/>
      <c r="E53" s="25" t="n"/>
      <c r="F53" s="32">
        <f>F51*30/100</f>
        <v/>
      </c>
      <c r="G53" s="32" t="inlineStr">
        <is>
          <t>Points</t>
        </is>
      </c>
    </row>
  </sheetData>
  <mergeCells count="8">
    <mergeCell ref="A13:G13"/>
    <mergeCell ref="A53:E53"/>
    <mergeCell ref="C7:G7"/>
    <mergeCell ref="A1:G1"/>
    <mergeCell ref="A50:D50"/>
    <mergeCell ref="A51:E51"/>
    <mergeCell ref="A52:G52"/>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Pattern Design and Product Development (Jute Sector)</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Pattern Design and Product Development (Jute Sector)</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Pattern Design and Product Development (Jute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15</v>
      </c>
      <c r="D16" s="31" t="n">
        <v>0</v>
      </c>
      <c r="E16" s="31" t="n">
        <v>5</v>
      </c>
      <c r="F16" s="31">
        <f>IFERROR(MIN(C16,D16)*E16/C16,0)</f>
        <v/>
      </c>
      <c r="G16" s="31" t="n"/>
    </row>
    <row r="17" ht="13.5" customHeight="1" s="20">
      <c r="A17" s="29" t="n">
        <v>2</v>
      </c>
      <c r="B17" s="30" t="inlineStr">
        <is>
          <t>Instructor Computer</t>
        </is>
      </c>
      <c r="C17" s="31" t="n">
        <v>1</v>
      </c>
      <c r="D17" s="31" t="n">
        <v>0</v>
      </c>
      <c r="E17" s="31" t="n">
        <v>5</v>
      </c>
      <c r="F17" s="31">
        <f>IFERROR(MIN(C17,D17)*E17/C17,0)</f>
        <v/>
      </c>
      <c r="G17" s="31" t="n"/>
    </row>
    <row r="18" ht="13.5" customHeight="1" s="20">
      <c r="A18" s="29" t="n">
        <v>3</v>
      </c>
      <c r="B18" s="30" t="inlineStr">
        <is>
          <t>Multimedia Projector</t>
        </is>
      </c>
      <c r="C18" s="31" t="n">
        <v>1</v>
      </c>
      <c r="D18" s="31" t="n">
        <v>0</v>
      </c>
      <c r="E18" s="31" t="n">
        <v>5</v>
      </c>
      <c r="F18" s="31">
        <f>IFERROR(MIN(C18,D18)*E18/C18,0)</f>
        <v/>
      </c>
      <c r="G18" s="31" t="n"/>
    </row>
    <row r="19" ht="13.5" customHeight="1" s="20">
      <c r="A19" s="29" t="n">
        <v>4</v>
      </c>
      <c r="B19" s="30" t="inlineStr">
        <is>
          <t>Whiteboard and markers</t>
        </is>
      </c>
      <c r="C19" s="31" t="n">
        <v>1</v>
      </c>
      <c r="D19" s="31" t="n">
        <v>0</v>
      </c>
      <c r="E19" s="31" t="n">
        <v>3</v>
      </c>
      <c r="F19" s="31">
        <f>IFERROR(MIN(C19,D19)*E19/C19,0)</f>
        <v/>
      </c>
      <c r="G19" s="31" t="n"/>
    </row>
    <row r="20" ht="13.5" customHeight="1" s="20">
      <c r="A20" s="29" t="n">
        <v>5</v>
      </c>
      <c r="B20" s="30" t="inlineStr">
        <is>
          <t>Flip chart stand with paper</t>
        </is>
      </c>
      <c r="C20" s="31" t="n">
        <v>2</v>
      </c>
      <c r="D20" s="31" t="n">
        <v>0</v>
      </c>
      <c r="E20" s="31" t="n">
        <v>3</v>
      </c>
      <c r="F20" s="31">
        <f>IFERROR(MIN(C20,D20)*E20/C20,0)</f>
        <v/>
      </c>
      <c r="G20" s="31" t="n"/>
    </row>
    <row r="21" ht="13.5" customHeight="1" s="20">
      <c r="A21" s="29" t="n">
        <v>6</v>
      </c>
      <c r="B21" s="30" t="inlineStr">
        <is>
          <t>Printer</t>
        </is>
      </c>
      <c r="C21" s="31" t="n">
        <v>1</v>
      </c>
      <c r="D21" s="31" t="n">
        <v>0</v>
      </c>
      <c r="E21" s="31" t="n">
        <v>5</v>
      </c>
      <c r="F21" s="31">
        <f>IFERROR(MIN(C21,D21)*E21/C21,0)</f>
        <v/>
      </c>
      <c r="G21" s="31" t="n"/>
    </row>
    <row r="22" ht="13.5" customHeight="1" s="20">
      <c r="A22" s="29" t="n">
        <v>7</v>
      </c>
      <c r="B22" s="30" t="inlineStr">
        <is>
          <t>Flatbed Scanner</t>
        </is>
      </c>
      <c r="C22" s="31" t="n">
        <v>1</v>
      </c>
      <c r="D22" s="31" t="n">
        <v>0</v>
      </c>
      <c r="E22" s="31" t="n">
        <v>5</v>
      </c>
      <c r="F22" s="31">
        <f>IFERROR(MIN(C22,D22)*E22/C22,0)</f>
        <v/>
      </c>
      <c r="G22" s="31" t="n"/>
    </row>
    <row r="23" ht="13.5" customHeight="1" s="20">
      <c r="A23" s="29" t="n">
        <v>8</v>
      </c>
      <c r="B23" s="30" t="inlineStr">
        <is>
          <t>Jute Fiber Sample Collection (FJF natural &amp; Lamination)</t>
        </is>
      </c>
      <c r="C23" s="31" t="n">
        <v>1</v>
      </c>
      <c r="D23" s="31" t="n">
        <v>0</v>
      </c>
      <c r="E23" s="31" t="n">
        <v>6</v>
      </c>
      <c r="F23" s="31">
        <f>IFERROR(MIN(C23,D23)*E23/C23,0)</f>
        <v/>
      </c>
      <c r="G23" s="31" t="n"/>
    </row>
    <row r="24" ht="13.5" customHeight="1" s="20">
      <c r="A24" s="29" t="n">
        <v>9</v>
      </c>
      <c r="B24" s="30" t="inlineStr">
        <is>
          <t>Jute Yarn Sample Collection</t>
        </is>
      </c>
      <c r="C24" s="31" t="n">
        <v>1</v>
      </c>
      <c r="D24" s="31" t="n">
        <v>0</v>
      </c>
      <c r="E24" s="31" t="n">
        <v>6</v>
      </c>
      <c r="F24" s="31">
        <f>IFERROR(MIN(C24,D24)*E24/C24,0)</f>
        <v/>
      </c>
      <c r="G24" s="31" t="n"/>
    </row>
    <row r="25" ht="13.5" customHeight="1" s="20">
      <c r="A25" s="29" t="n">
        <v>10</v>
      </c>
      <c r="B25" s="30" t="inlineStr">
        <is>
          <t>Jute Fabric Sample Collection</t>
        </is>
      </c>
      <c r="C25" s="31" t="n">
        <v>1</v>
      </c>
      <c r="D25" s="31" t="n">
        <v>0</v>
      </c>
      <c r="E25" s="31" t="n">
        <v>6</v>
      </c>
      <c r="F25" s="31">
        <f>IFERROR(MIN(C25,D25)*E25/C25,0)</f>
        <v/>
      </c>
      <c r="G25" s="31" t="n"/>
    </row>
    <row r="26" ht="13.5" customHeight="1" s="20">
      <c r="A26" s="29" t="n">
        <v>11</v>
      </c>
      <c r="B26" s="30" t="inlineStr">
        <is>
          <t>Diversified Jute Product Sample Set</t>
        </is>
      </c>
      <c r="C26" s="31" t="n">
        <v>1</v>
      </c>
      <c r="D26" s="31" t="n">
        <v>0</v>
      </c>
      <c r="E26" s="31" t="n">
        <v>6</v>
      </c>
      <c r="F26" s="31">
        <f>IFERROR(MIN(C26,D26)*E26/C26,0)</f>
        <v/>
      </c>
      <c r="G26" s="31" t="n"/>
    </row>
    <row r="27" ht="13.5" customHeight="1" s="20">
      <c r="A27" s="29" t="n">
        <v>12</v>
      </c>
      <c r="B27" s="30" t="inlineStr">
        <is>
          <t>Fabric and Yarn Testing Kit</t>
        </is>
      </c>
      <c r="C27" s="31" t="n">
        <v>5</v>
      </c>
      <c r="D27" s="31" t="n">
        <v>0</v>
      </c>
      <c r="E27" s="31" t="n">
        <v>7</v>
      </c>
      <c r="F27" s="31">
        <f>IFERROR(MIN(C27,D27)*E27/C27,0)</f>
        <v/>
      </c>
      <c r="G27" s="31" t="n"/>
    </row>
    <row r="28" ht="13.5" customHeight="1" s="20">
      <c r="A28" s="29" t="n">
        <v>13</v>
      </c>
      <c r="B28" s="30" t="inlineStr">
        <is>
          <t>GSM Cutter and GSM Balance</t>
        </is>
      </c>
      <c r="C28" s="31" t="n">
        <v>2</v>
      </c>
      <c r="D28" s="31" t="n">
        <v>0</v>
      </c>
      <c r="E28" s="31" t="n">
        <v>7</v>
      </c>
      <c r="F28" s="31">
        <f>IFERROR(MIN(C28,D28)*E28/C28,0)</f>
        <v/>
      </c>
      <c r="G28" s="31" t="n"/>
    </row>
    <row r="29" ht="13.5" customHeight="1" s="20">
      <c r="A29" s="29" t="n">
        <v>14</v>
      </c>
      <c r="B29" s="30" t="inlineStr">
        <is>
          <t>Digital Weighing Scale</t>
        </is>
      </c>
      <c r="C29" s="31" t="n">
        <v>2</v>
      </c>
      <c r="D29" s="31" t="n">
        <v>0</v>
      </c>
      <c r="E29" s="31" t="n">
        <v>5</v>
      </c>
      <c r="F29" s="31">
        <f>IFERROR(MIN(C29,D29)*E29/C29,0)</f>
        <v/>
      </c>
      <c r="G29" s="31" t="n"/>
    </row>
    <row r="30" ht="13.5" customHeight="1" s="20">
      <c r="A30" s="29" t="n">
        <v>15</v>
      </c>
      <c r="B30" s="30" t="inlineStr">
        <is>
          <t>Quality Inspection Tools</t>
        </is>
      </c>
      <c r="C30" s="31" t="n">
        <v>5</v>
      </c>
      <c r="D30" s="31" t="n">
        <v>0</v>
      </c>
      <c r="E30" s="31" t="n">
        <v>7</v>
      </c>
      <c r="F30" s="31">
        <f>IFERROR(MIN(C30,D30)*E30/C30,0)</f>
        <v/>
      </c>
      <c r="G30" s="31" t="n"/>
    </row>
    <row r="31" ht="13.5" customHeight="1" s="20">
      <c r="A31" s="29" t="n">
        <v>16</v>
      </c>
      <c r="B31" s="30" t="inlineStr">
        <is>
          <t>Measuring Tapes</t>
        </is>
      </c>
      <c r="C31" s="31" t="n">
        <v>25</v>
      </c>
      <c r="D31" s="31" t="n">
        <v>0</v>
      </c>
      <c r="E31" s="31" t="n">
        <v>3</v>
      </c>
      <c r="F31" s="31">
        <f>IFERROR(MIN(C31,D31)*E31/C31,0)</f>
        <v/>
      </c>
      <c r="G31" s="31" t="n"/>
    </row>
    <row r="32" ht="13.5" customHeight="1" s="20">
      <c r="A32" s="29" t="n">
        <v>17</v>
      </c>
      <c r="B32" s="30" t="inlineStr">
        <is>
          <t>Set squires (Large)</t>
        </is>
      </c>
      <c r="C32" s="31" t="n">
        <v>30</v>
      </c>
      <c r="D32" s="31" t="n">
        <v>0</v>
      </c>
      <c r="E32" s="31" t="n">
        <v>3</v>
      </c>
      <c r="F32" s="31">
        <f>IFERROR(MIN(C32,D32)*E32/C32,0)</f>
        <v/>
      </c>
      <c r="G32" s="31" t="n"/>
    </row>
    <row r="33" ht="13.5" customHeight="1" s="20">
      <c r="A33" s="29" t="n">
        <v>18</v>
      </c>
      <c r="B33" s="30" t="inlineStr">
        <is>
          <t>L-squire</t>
        </is>
      </c>
      <c r="C33" s="31" t="n">
        <v>30</v>
      </c>
      <c r="D33" s="31" t="n">
        <v>0</v>
      </c>
      <c r="E33" s="31" t="n">
        <v>3</v>
      </c>
      <c r="F33" s="31">
        <f>IFERROR(MIN(C33,D33)*E33/C33,0)</f>
        <v/>
      </c>
      <c r="G33" s="31" t="n"/>
    </row>
    <row r="34" ht="13.5" customHeight="1" s="20">
      <c r="A34" s="29" t="n">
        <v>19</v>
      </c>
      <c r="B34" s="30" t="inlineStr">
        <is>
          <t>Scale (12’,18’, 24’, 40’)</t>
        </is>
      </c>
      <c r="C34" s="31" t="n">
        <v>25</v>
      </c>
      <c r="D34" s="31" t="n">
        <v>0</v>
      </c>
      <c r="E34" s="31" t="n">
        <v>3</v>
      </c>
      <c r="F34" s="31">
        <f>IFERROR(MIN(C34,D34)*E34/C34,0)</f>
        <v/>
      </c>
      <c r="G34" s="31" t="n"/>
    </row>
    <row r="35" ht="13.5" customHeight="1" s="20">
      <c r="A35" s="29" t="n">
        <v>20</v>
      </c>
      <c r="B35" s="30" t="inlineStr">
        <is>
          <t>Cutter Board (Large size)</t>
        </is>
      </c>
      <c r="C35" s="31" t="n">
        <v>2</v>
      </c>
      <c r="D35" s="31" t="n">
        <v>0</v>
      </c>
      <c r="E35" s="31" t="n">
        <v>4</v>
      </c>
      <c r="F35" s="31">
        <f>IFERROR(MIN(C35,D35)*E35/C35,0)</f>
        <v/>
      </c>
      <c r="G35" s="31" t="n"/>
    </row>
    <row r="36" ht="13.5" customHeight="1" s="20">
      <c r="A36" s="29" t="n">
        <v>21</v>
      </c>
      <c r="B36" s="30" t="inlineStr">
        <is>
          <t>Pattern Board</t>
        </is>
      </c>
      <c r="C36" s="31" t="n">
        <v>12</v>
      </c>
      <c r="D36" s="31" t="n">
        <v>0</v>
      </c>
      <c r="E36" s="31" t="n">
        <v>8</v>
      </c>
      <c r="F36" s="31">
        <f>IFERROR(MIN(C36,D36)*E36/C36,0)</f>
        <v/>
      </c>
      <c r="G36" s="31" t="n"/>
    </row>
    <row r="37" ht="13.5" customHeight="1" s="20">
      <c r="A37" s="29" t="n">
        <v>22</v>
      </c>
      <c r="B37" s="30" t="inlineStr">
        <is>
          <t>Scissor</t>
        </is>
      </c>
      <c r="C37" s="31" t="n">
        <v>5</v>
      </c>
      <c r="D37" s="31" t="n">
        <v>0</v>
      </c>
      <c r="E37" s="31" t="n">
        <v>3</v>
      </c>
      <c r="F37" s="31">
        <f>IFERROR(MIN(C37,D37)*E37/C37,0)</f>
        <v/>
      </c>
      <c r="G37" s="31" t="n"/>
    </row>
    <row r="38" ht="13.5" customHeight="1" s="20">
      <c r="A38" s="29" t="n">
        <v>23</v>
      </c>
      <c r="B38" s="30" t="inlineStr">
        <is>
          <t>Design instruments Box (set of 20)</t>
        </is>
      </c>
      <c r="C38" s="31" t="n">
        <v>1</v>
      </c>
      <c r="D38" s="31" t="n">
        <v>0</v>
      </c>
      <c r="E38" s="31" t="n">
        <v>5</v>
      </c>
      <c r="F38" s="31">
        <f>IFERROR(MIN(C38,D38)*E38/C38,0)</f>
        <v/>
      </c>
      <c r="G38" s="31" t="n"/>
    </row>
    <row r="39" ht="13.5" customHeight="1" s="20">
      <c r="A39" s="29" t="n">
        <v>24</v>
      </c>
      <c r="B39" s="30" t="inlineStr">
        <is>
          <t>Anty cutter</t>
        </is>
      </c>
      <c r="C39" s="31" t="n">
        <v>7</v>
      </c>
      <c r="D39" s="31" t="n">
        <v>0</v>
      </c>
      <c r="E39" s="31" t="n">
        <v>3</v>
      </c>
      <c r="F39" s="31">
        <f>IFERROR(MIN(C39,D39)*E39/C39,0)</f>
        <v/>
      </c>
      <c r="G39" s="31" t="n"/>
    </row>
    <row r="40" ht="13.5" customHeight="1" s="20">
      <c r="A40" s="29" t="n">
        <v>25</v>
      </c>
      <c r="B40" s="30" t="inlineStr">
        <is>
          <t>Cutting Table with 6 drawers (3’ Hight) (4’x8’)</t>
        </is>
      </c>
      <c r="C40" s="31" t="n">
        <v>1</v>
      </c>
      <c r="D40" s="31" t="n">
        <v>0</v>
      </c>
      <c r="E40" s="31" t="n">
        <v>5</v>
      </c>
      <c r="F40" s="31">
        <f>IFERROR(MIN(C40,D40)*E40/C40,0)</f>
        <v/>
      </c>
      <c r="G40" s="31" t="n"/>
    </row>
    <row r="41" ht="13.5" customHeight="1" s="20">
      <c r="A41" s="29" t="n">
        <v>26</v>
      </c>
      <c r="B41" s="30" t="inlineStr">
        <is>
          <t>Tool</t>
        </is>
      </c>
      <c r="C41" s="31" t="n">
        <v>6</v>
      </c>
      <c r="D41" s="31" t="n">
        <v>0</v>
      </c>
      <c r="E41" s="31" t="n">
        <v>3</v>
      </c>
      <c r="F41" s="31">
        <f>IFERROR(MIN(C41,D41)*E41/C41,0)</f>
        <v/>
      </c>
      <c r="G41" s="31" t="n"/>
    </row>
    <row r="42" ht="13.5" customHeight="1" s="20">
      <c r="A42" s="29" t="n">
        <v>27</v>
      </c>
      <c r="B42" s="30" t="inlineStr">
        <is>
          <t>Led pencil</t>
        </is>
      </c>
      <c r="C42" s="31" t="n">
        <v>7</v>
      </c>
      <c r="D42" s="31" t="n">
        <v>0</v>
      </c>
      <c r="E42" s="31" t="n">
        <v>3</v>
      </c>
      <c r="F42" s="31">
        <f>IFERROR(MIN(C42,D42)*E42/C42,0)</f>
        <v/>
      </c>
      <c r="G42" s="31" t="n"/>
    </row>
    <row r="43" ht="13.5" customHeight="1" s="20">
      <c r="A43" s="29" t="n">
        <v>28</v>
      </c>
      <c r="B43" s="30" t="inlineStr">
        <is>
          <t>Single needle chain stich Sewing Machine</t>
        </is>
      </c>
      <c r="C43" s="31" t="n">
        <v>1</v>
      </c>
      <c r="D43" s="31" t="n">
        <v>0</v>
      </c>
      <c r="E43" s="31" t="n">
        <v>8</v>
      </c>
      <c r="F43" s="31">
        <f>IFERROR(MIN(C43,D43)*E43/C43,0)</f>
        <v/>
      </c>
      <c r="G43" s="31" t="n"/>
    </row>
    <row r="44" ht="13.5" customHeight="1" s="20">
      <c r="A44" s="29" t="n">
        <v>29</v>
      </c>
      <c r="B44" s="30" t="inlineStr">
        <is>
          <t>Overlock machine</t>
        </is>
      </c>
      <c r="C44" s="31" t="n">
        <v>1</v>
      </c>
      <c r="D44" s="31" t="n">
        <v>0</v>
      </c>
      <c r="E44" s="31" t="n">
        <v>8</v>
      </c>
      <c r="F44" s="31">
        <f>IFERROR(MIN(C44,D44)*E44/C44,0)</f>
        <v/>
      </c>
      <c r="G44" s="31" t="n"/>
    </row>
    <row r="45" ht="13.5" customHeight="1" s="20">
      <c r="A45" s="29" t="n">
        <v>30</v>
      </c>
      <c r="B45" s="30" t="inlineStr">
        <is>
          <t>Electric hand cutting machine</t>
        </is>
      </c>
      <c r="C45" s="31" t="n">
        <v>1</v>
      </c>
      <c r="D45" s="31" t="n">
        <v>0</v>
      </c>
      <c r="E45" s="31" t="n">
        <v>7</v>
      </c>
      <c r="F45" s="31">
        <f>IFERROR(MIN(C45,D45)*E45/C45,0)</f>
        <v/>
      </c>
      <c r="G45" s="31" t="n"/>
    </row>
    <row r="46" ht="13.5" customHeight="1" s="20">
      <c r="A46" s="29" t="n">
        <v>31</v>
      </c>
      <c r="B46" s="30" t="inlineStr">
        <is>
          <t>Packaging Material Sample Set</t>
        </is>
      </c>
      <c r="C46" s="31" t="n">
        <v>1</v>
      </c>
      <c r="D46" s="31" t="n">
        <v>0</v>
      </c>
      <c r="E46" s="31" t="n">
        <v>5</v>
      </c>
      <c r="F46" s="31">
        <f>IFERROR(MIN(C46,D46)*E46/C46,0)</f>
        <v/>
      </c>
      <c r="G46" s="31" t="n"/>
    </row>
    <row r="47" ht="13.5" customHeight="1" s="20">
      <c r="A47" s="29" t="n">
        <v>32</v>
      </c>
      <c r="B47" s="30" t="inlineStr">
        <is>
          <t>First aid kit</t>
        </is>
      </c>
      <c r="C47" s="31" t="n">
        <v>1</v>
      </c>
      <c r="D47" s="31" t="n">
        <v>0</v>
      </c>
      <c r="E47" s="31" t="n">
        <v>3</v>
      </c>
      <c r="F47" s="31">
        <f>IFERROR(MIN(C47,D47)*E47/C47,0)</f>
        <v/>
      </c>
      <c r="G47" s="31" t="n"/>
    </row>
    <row r="48" ht="13.5" customHeight="1" s="20">
      <c r="A48" s="29" t="n">
        <v>33</v>
      </c>
      <c r="B48" s="30" t="inlineStr">
        <is>
          <t>Fire extinguisher (for safety demonstration)</t>
        </is>
      </c>
      <c r="C48" s="31" t="n">
        <v>1</v>
      </c>
      <c r="D48" s="31" t="n">
        <v>0</v>
      </c>
      <c r="E48" s="31" t="n">
        <v>3</v>
      </c>
      <c r="F48" s="31">
        <f>IFERROR(MIN(C48,D48)*E48/C48,0)</f>
        <v/>
      </c>
      <c r="G48" s="31" t="n"/>
    </row>
    <row r="49" ht="15" customHeight="1" s="20">
      <c r="A49" s="32" t="inlineStr">
        <is>
          <t>Sum</t>
        </is>
      </c>
      <c r="B49" s="24" t="n"/>
      <c r="C49" s="24" t="n"/>
      <c r="D49" s="25" t="n"/>
      <c r="E49" s="32">
        <f>SUM(E16:E48)</f>
        <v/>
      </c>
      <c r="F49" s="32">
        <f>SUM(F16:F48)</f>
        <v/>
      </c>
      <c r="G49" s="33" t="n"/>
    </row>
    <row r="50" ht="15" customHeight="1" s="20">
      <c r="A50" s="32" t="inlineStr">
        <is>
          <t>Score out of 100</t>
        </is>
      </c>
      <c r="B50" s="24" t="n"/>
      <c r="C50" s="24" t="n"/>
      <c r="D50" s="24" t="n"/>
      <c r="E50" s="25" t="n"/>
      <c r="F50" s="32">
        <f>F49/E49*100</f>
        <v/>
      </c>
      <c r="G50" s="33" t="n"/>
    </row>
    <row r="51" ht="9.75" customHeight="1" s="20">
      <c r="A51" s="19" t="n"/>
    </row>
    <row r="52" ht="15" customHeight="1" s="20">
      <c r="A52" s="32" t="inlineStr">
        <is>
          <t xml:space="preserve">Total achieved points out of 30  </t>
        </is>
      </c>
      <c r="B52" s="24" t="n"/>
      <c r="C52" s="24" t="n"/>
      <c r="D52" s="24" t="n"/>
      <c r="E52" s="25" t="n"/>
      <c r="F52" s="32">
        <f>F50*30/100</f>
        <v/>
      </c>
      <c r="G52" s="32" t="inlineStr">
        <is>
          <t>Points</t>
        </is>
      </c>
    </row>
  </sheetData>
  <mergeCells count="8">
    <mergeCell ref="A13:G13"/>
    <mergeCell ref="A50:E50"/>
    <mergeCell ref="C7:G7"/>
    <mergeCell ref="A1:G1"/>
    <mergeCell ref="A52:E52"/>
    <mergeCell ref="A49:D49"/>
    <mergeCell ref="C8:G8"/>
    <mergeCell ref="A51:G5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19" colorId="64" zoomScale="100" zoomScaleNormal="100" zoomScalePageLayoutView="100" workbookViewId="0">
      <selection pane="topLeft" activeCell="K37" activeCellId="0" sqref="K37"/>
    </sheetView>
  </sheetViews>
  <sheetFormatPr baseColWidth="8" defaultColWidth="8.6796875" defaultRowHeight="15" customHeight="0" zeroHeight="0" outlineLevelRow="0"/>
  <cols>
    <col width="15.17" customWidth="1" style="19" min="1" max="1"/>
    <col width="43.26" customWidth="1" style="19" min="2" max="2"/>
    <col width="13.72" customWidth="1" style="19" min="3" max="7"/>
  </cols>
  <sheetData>
    <row r="1" ht="17.25" customHeight="1" s="20">
      <c r="A1" s="21" t="inlineStr">
        <is>
          <t>Course-wise Training Infrastructure and Facilities</t>
        </is>
      </c>
    </row>
    <row r="3" ht="15" customHeight="1" s="20">
      <c r="A3" s="22" t="inlineStr">
        <is>
          <t>Course Name:</t>
        </is>
      </c>
      <c r="B3" s="22" t="inlineStr">
        <is>
          <t>Weaving and Finishing</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Weaving and Finishing</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Weaving and Finishing,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15</v>
      </c>
      <c r="D16" s="31" t="n">
        <v>0</v>
      </c>
      <c r="E16" s="31" t="n">
        <v>5</v>
      </c>
      <c r="F16" s="31">
        <f>IFERROR(MIN(C16,D16)*E16/C16,0)</f>
        <v/>
      </c>
      <c r="G16" s="31" t="n"/>
    </row>
    <row r="17" ht="13.5" customHeight="1" s="20">
      <c r="A17" s="29" t="n">
        <v>2</v>
      </c>
      <c r="B17" s="30" t="inlineStr">
        <is>
          <t>Instructor Computer</t>
        </is>
      </c>
      <c r="C17" s="31" t="n">
        <v>1</v>
      </c>
      <c r="D17" s="31" t="n">
        <v>0</v>
      </c>
      <c r="E17" s="31" t="n">
        <v>5</v>
      </c>
      <c r="F17" s="31">
        <f>IFERROR(MIN(C17,D17)*E17/C17,0)</f>
        <v/>
      </c>
      <c r="G17" s="31" t="n"/>
    </row>
    <row r="18" ht="13.5" customHeight="1" s="20">
      <c r="A18" s="29" t="n">
        <v>3</v>
      </c>
      <c r="B18" s="30" t="inlineStr">
        <is>
          <t>Multimedia Projector</t>
        </is>
      </c>
      <c r="C18" s="31" t="n">
        <v>1</v>
      </c>
      <c r="D18" s="31" t="n">
        <v>0</v>
      </c>
      <c r="E18" s="31" t="n">
        <v>5</v>
      </c>
      <c r="F18" s="31">
        <f>IFERROR(MIN(C18,D18)*E18/C18,0)</f>
        <v/>
      </c>
      <c r="G18" s="31" t="n"/>
    </row>
    <row r="19" ht="13.5" customHeight="1" s="20">
      <c r="A19" s="29" t="n">
        <v>4</v>
      </c>
      <c r="B19" s="30" t="inlineStr">
        <is>
          <t>Whiteboard and markers</t>
        </is>
      </c>
      <c r="C19" s="31" t="n">
        <v>1</v>
      </c>
      <c r="D19" s="31" t="n">
        <v>0</v>
      </c>
      <c r="E19" s="31" t="n">
        <v>3</v>
      </c>
      <c r="F19" s="31">
        <f>IFERROR(MIN(C19,D19)*E19/C19,0)</f>
        <v/>
      </c>
      <c r="G19" s="31" t="n"/>
    </row>
    <row r="20" ht="13.5" customHeight="1" s="20">
      <c r="A20" s="29" t="n">
        <v>5</v>
      </c>
      <c r="B20" s="30" t="inlineStr">
        <is>
          <t>Flip chart stands with paper</t>
        </is>
      </c>
      <c r="C20" s="31" t="n">
        <v>2</v>
      </c>
      <c r="D20" s="31" t="n">
        <v>0</v>
      </c>
      <c r="E20" s="31" t="n">
        <v>3</v>
      </c>
      <c r="F20" s="31">
        <f>IFERROR(MIN(C20,D20)*E20/C20,0)</f>
        <v/>
      </c>
      <c r="G20" s="31" t="n"/>
    </row>
    <row r="21" ht="13.5" customHeight="1" s="20">
      <c r="A21" s="29" t="n">
        <v>6</v>
      </c>
      <c r="B21" s="30" t="inlineStr">
        <is>
          <t>Printer</t>
        </is>
      </c>
      <c r="C21" s="31" t="n">
        <v>1</v>
      </c>
      <c r="D21" s="31" t="n">
        <v>0</v>
      </c>
      <c r="E21" s="31" t="n">
        <v>5</v>
      </c>
      <c r="F21" s="31">
        <f>IFERROR(MIN(C21,D21)*E21/C21,0)</f>
        <v/>
      </c>
      <c r="G21" s="31" t="n"/>
    </row>
    <row r="22" ht="13.5" customHeight="1" s="20">
      <c r="A22" s="29" t="n">
        <v>7</v>
      </c>
      <c r="B22" s="30" t="inlineStr">
        <is>
          <t>Flatbed Scanner</t>
        </is>
      </c>
      <c r="C22" s="31" t="n">
        <v>1</v>
      </c>
      <c r="D22" s="31" t="n">
        <v>0</v>
      </c>
      <c r="E22" s="31" t="n">
        <v>5</v>
      </c>
      <c r="F22" s="31">
        <f>IFERROR(MIN(C22,D22)*E22/C22,0)</f>
        <v/>
      </c>
      <c r="G22" s="31" t="n"/>
    </row>
    <row r="23" ht="13.5" customHeight="1" s="20">
      <c r="A23" s="29" t="n">
        <v>8</v>
      </c>
      <c r="B23" s="30" t="inlineStr">
        <is>
          <t>Dust shaker</t>
        </is>
      </c>
      <c r="C23" s="31" t="n">
        <v>1</v>
      </c>
      <c r="D23" s="31" t="n">
        <v>0</v>
      </c>
      <c r="E23" s="31" t="n">
        <v>6</v>
      </c>
      <c r="F23" s="31">
        <f>IFERROR(MIN(C23,D23)*E23/C23,0)</f>
        <v/>
      </c>
      <c r="G23" s="31" t="n"/>
    </row>
    <row r="24" ht="13.5" customHeight="1" s="20">
      <c r="A24" s="29" t="n">
        <v>9</v>
      </c>
      <c r="B24" s="30" t="inlineStr">
        <is>
          <t>Emulsion plant</t>
        </is>
      </c>
      <c r="C24" s="31" t="n">
        <v>1</v>
      </c>
      <c r="D24" s="31" t="n">
        <v>0</v>
      </c>
      <c r="E24" s="31" t="n">
        <v>6</v>
      </c>
      <c r="F24" s="31">
        <f>IFERROR(MIN(C24,D24)*E24/C24,0)</f>
        <v/>
      </c>
      <c r="G24" s="31" t="n"/>
    </row>
    <row r="25" ht="13.5" customHeight="1" s="20">
      <c r="A25" s="29" t="n">
        <v>10</v>
      </c>
      <c r="B25" s="30" t="inlineStr">
        <is>
          <t>Softener</t>
        </is>
      </c>
      <c r="C25" s="31" t="n">
        <v>1</v>
      </c>
      <c r="D25" s="31" t="n">
        <v>0</v>
      </c>
      <c r="E25" s="31" t="n">
        <v>6</v>
      </c>
      <c r="F25" s="31">
        <f>IFERROR(MIN(C25,D25)*E25/C25,0)</f>
        <v/>
      </c>
      <c r="G25" s="31" t="n"/>
    </row>
    <row r="26" ht="13.5" customHeight="1" s="20">
      <c r="A26" s="29" t="n">
        <v>11</v>
      </c>
      <c r="B26" s="30" t="inlineStr">
        <is>
          <t>Spreader</t>
        </is>
      </c>
      <c r="C26" s="31" t="n">
        <v>1</v>
      </c>
      <c r="D26" s="31" t="n">
        <v>0</v>
      </c>
      <c r="E26" s="31" t="n">
        <v>6</v>
      </c>
      <c r="F26" s="31">
        <f>IFERROR(MIN(C26,D26)*E26/C26,0)</f>
        <v/>
      </c>
      <c r="G26" s="31" t="n"/>
    </row>
    <row r="27" ht="13.5" customHeight="1" s="20">
      <c r="A27" s="29" t="n">
        <v>12</v>
      </c>
      <c r="B27" s="30" t="inlineStr">
        <is>
          <t>Jute Fiber Sample Collection</t>
        </is>
      </c>
      <c r="C27" s="31" t="n">
        <v>1</v>
      </c>
      <c r="D27" s="31" t="n">
        <v>0</v>
      </c>
      <c r="E27" s="31" t="n">
        <v>6</v>
      </c>
      <c r="F27" s="31">
        <f>IFERROR(MIN(C27,D27)*E27/C27,0)</f>
        <v/>
      </c>
      <c r="G27" s="31" t="n"/>
    </row>
    <row r="28" ht="13.5" customHeight="1" s="20">
      <c r="A28" s="29" t="n">
        <v>13</v>
      </c>
      <c r="B28" s="30" t="inlineStr">
        <is>
          <t>Jute Yarn Sample Collection</t>
        </is>
      </c>
      <c r="C28" s="31" t="n">
        <v>1</v>
      </c>
      <c r="D28" s="31" t="n">
        <v>0</v>
      </c>
      <c r="E28" s="31" t="n">
        <v>6</v>
      </c>
      <c r="F28" s="31">
        <f>IFERROR(MIN(C28,D28)*E28/C28,0)</f>
        <v/>
      </c>
      <c r="G28" s="31" t="n"/>
    </row>
    <row r="29" ht="13.5" customHeight="1" s="20">
      <c r="A29" s="29" t="n">
        <v>14</v>
      </c>
      <c r="B29" s="30" t="inlineStr">
        <is>
          <t>Jute Fabric Sample Collection</t>
        </is>
      </c>
      <c r="C29" s="31" t="n">
        <v>1</v>
      </c>
      <c r="D29" s="31" t="n">
        <v>0</v>
      </c>
      <c r="E29" s="31" t="n">
        <v>6</v>
      </c>
      <c r="F29" s="31">
        <f>IFERROR(MIN(C29,D29)*E29/C29,0)</f>
        <v/>
      </c>
      <c r="G29" s="31" t="n"/>
    </row>
    <row r="30" ht="13.5" customHeight="1" s="20">
      <c r="A30" s="29" t="n">
        <v>15</v>
      </c>
      <c r="B30" s="30" t="inlineStr">
        <is>
          <t>Diversified Jute Product Sample Set</t>
        </is>
      </c>
      <c r="C30" s="31" t="n">
        <v>1</v>
      </c>
      <c r="D30" s="31" t="n">
        <v>0</v>
      </c>
      <c r="E30" s="31" t="n">
        <v>6</v>
      </c>
      <c r="F30" s="31">
        <f>IFERROR(MIN(C30,D30)*E30/C30,0)</f>
        <v/>
      </c>
      <c r="G30" s="31" t="n"/>
    </row>
    <row r="31" ht="13.5" customHeight="1" s="20">
      <c r="A31" s="29" t="n">
        <v>16</v>
      </c>
      <c r="B31" s="30" t="inlineStr">
        <is>
          <t>Fabric and Yarn Testing Kit</t>
        </is>
      </c>
      <c r="C31" s="31" t="n">
        <v>5</v>
      </c>
      <c r="D31" s="31" t="n">
        <v>0</v>
      </c>
      <c r="E31" s="31" t="n">
        <v>7</v>
      </c>
      <c r="F31" s="31">
        <f>IFERROR(MIN(C31,D31)*E31/C31,0)</f>
        <v/>
      </c>
      <c r="G31" s="31" t="n"/>
    </row>
    <row r="32" ht="13.5" customHeight="1" s="20">
      <c r="A32" s="29" t="n">
        <v>17</v>
      </c>
      <c r="B32" s="30" t="inlineStr">
        <is>
          <t>GSM Cutter and GSM Balance</t>
        </is>
      </c>
      <c r="C32" s="31" t="n">
        <v>2</v>
      </c>
      <c r="D32" s="31" t="n">
        <v>0</v>
      </c>
      <c r="E32" s="31" t="n">
        <v>7</v>
      </c>
      <c r="F32" s="31">
        <f>IFERROR(MIN(C32,D32)*E32/C32,0)</f>
        <v/>
      </c>
      <c r="G32" s="31" t="n"/>
    </row>
    <row r="33" ht="13.5" customHeight="1" s="20">
      <c r="A33" s="29" t="n">
        <v>18</v>
      </c>
      <c r="B33" s="30" t="inlineStr">
        <is>
          <t>Digital Weighing Scale</t>
        </is>
      </c>
      <c r="C33" s="31" t="n">
        <v>2</v>
      </c>
      <c r="D33" s="31" t="n">
        <v>0</v>
      </c>
      <c r="E33" s="31" t="n">
        <v>5</v>
      </c>
      <c r="F33" s="31">
        <f>IFERROR(MIN(C33,D33)*E33/C33,0)</f>
        <v/>
      </c>
      <c r="G33" s="31" t="n"/>
    </row>
    <row r="34" ht="13.5" customHeight="1" s="20">
      <c r="A34" s="29" t="n">
        <v>19</v>
      </c>
      <c r="B34" s="30" t="inlineStr">
        <is>
          <t>Quality Inspection Tools</t>
        </is>
      </c>
      <c r="C34" s="31" t="n">
        <v>5</v>
      </c>
      <c r="D34" s="31" t="n">
        <v>0</v>
      </c>
      <c r="E34" s="31" t="n">
        <v>7</v>
      </c>
      <c r="F34" s="31">
        <f>IFERROR(MIN(C34,D34)*E34/C34,0)</f>
        <v/>
      </c>
      <c r="G34" s="31" t="n"/>
    </row>
    <row r="35" ht="13.5" customHeight="1" s="20">
      <c r="A35" s="29" t="n">
        <v>20</v>
      </c>
      <c r="B35" s="30" t="inlineStr">
        <is>
          <t>Measuring Tapes</t>
        </is>
      </c>
      <c r="C35" s="31" t="n">
        <v>25</v>
      </c>
      <c r="D35" s="31" t="n">
        <v>0</v>
      </c>
      <c r="E35" s="31" t="n">
        <v>3</v>
      </c>
      <c r="F35" s="31">
        <f>IFERROR(MIN(C35,D35)*E35/C35,0)</f>
        <v/>
      </c>
      <c r="G35" s="31" t="n"/>
    </row>
    <row r="36" ht="13.5" customHeight="1" s="20">
      <c r="A36" s="29" t="n">
        <v>21</v>
      </c>
      <c r="B36" s="30" t="inlineStr">
        <is>
          <t>Set squires (Large)</t>
        </is>
      </c>
      <c r="C36" s="31" t="n">
        <v>30</v>
      </c>
      <c r="D36" s="31" t="n">
        <v>0</v>
      </c>
      <c r="E36" s="31" t="n">
        <v>3</v>
      </c>
      <c r="F36" s="31">
        <f>IFERROR(MIN(C36,D36)*E36/C36,0)</f>
        <v/>
      </c>
      <c r="G36" s="31" t="n"/>
    </row>
    <row r="37" ht="13.5" customHeight="1" s="20">
      <c r="A37" s="29" t="n">
        <v>22</v>
      </c>
      <c r="B37" s="30" t="inlineStr">
        <is>
          <t>L-squire</t>
        </is>
      </c>
      <c r="C37" s="31" t="n">
        <v>30</v>
      </c>
      <c r="D37" s="31" t="n">
        <v>0</v>
      </c>
      <c r="E37" s="31" t="n">
        <v>3</v>
      </c>
      <c r="F37" s="31">
        <f>IFERROR(MIN(C37,D37)*E37/C37,0)</f>
        <v/>
      </c>
      <c r="G37" s="31" t="n"/>
    </row>
    <row r="38" ht="13.5" customHeight="1" s="20">
      <c r="A38" s="29" t="n">
        <v>23</v>
      </c>
      <c r="B38" s="30" t="inlineStr">
        <is>
          <t>Scale (12’,18’, 24’, 40’)</t>
        </is>
      </c>
      <c r="C38" s="31" t="n">
        <v>25</v>
      </c>
      <c r="D38" s="31" t="n">
        <v>0</v>
      </c>
      <c r="E38" s="31" t="n">
        <v>3</v>
      </c>
      <c r="F38" s="31">
        <f>IFERROR(MIN(C38,D38)*E38/C38,0)</f>
        <v/>
      </c>
      <c r="G38" s="31" t="n"/>
    </row>
    <row r="39" ht="13.5" customHeight="1" s="20">
      <c r="A39" s="29" t="n">
        <v>24</v>
      </c>
      <c r="B39" s="30" t="inlineStr">
        <is>
          <t>Cutter Board (Large size)</t>
        </is>
      </c>
      <c r="C39" s="31" t="n">
        <v>2</v>
      </c>
      <c r="D39" s="31" t="n">
        <v>0</v>
      </c>
      <c r="E39" s="31" t="n">
        <v>4</v>
      </c>
      <c r="F39" s="31">
        <f>IFERROR(MIN(C39,D39)*E39/C39,0)</f>
        <v/>
      </c>
      <c r="G39" s="31" t="n"/>
    </row>
    <row r="40" ht="13.5" customHeight="1" s="20">
      <c r="A40" s="29" t="n">
        <v>25</v>
      </c>
      <c r="B40" s="30" t="inlineStr">
        <is>
          <t>Pattern Board</t>
        </is>
      </c>
      <c r="C40" s="31" t="n">
        <v>12</v>
      </c>
      <c r="D40" s="31" t="n">
        <v>0</v>
      </c>
      <c r="E40" s="31" t="n">
        <v>6</v>
      </c>
      <c r="F40" s="31">
        <f>IFERROR(MIN(C40,D40)*E40/C40,0)</f>
        <v/>
      </c>
      <c r="G40" s="31" t="n"/>
    </row>
    <row r="41" ht="13.5" customHeight="1" s="20">
      <c r="A41" s="29" t="n">
        <v>26</v>
      </c>
      <c r="B41" s="30" t="inlineStr">
        <is>
          <t>Scissor</t>
        </is>
      </c>
      <c r="C41" s="31" t="n">
        <v>5</v>
      </c>
      <c r="D41" s="31" t="n">
        <v>0</v>
      </c>
      <c r="E41" s="31" t="n">
        <v>3</v>
      </c>
      <c r="F41" s="31">
        <f>IFERROR(MIN(C41,D41)*E41/C41,0)</f>
        <v/>
      </c>
      <c r="G41" s="31" t="n"/>
    </row>
    <row r="42" ht="13.5" customHeight="1" s="20">
      <c r="A42" s="29" t="n">
        <v>27</v>
      </c>
      <c r="B42" s="30" t="inlineStr">
        <is>
          <t>Design instruments Box (set of 20)</t>
        </is>
      </c>
      <c r="C42" s="31" t="n">
        <v>1</v>
      </c>
      <c r="D42" s="31" t="n">
        <v>0</v>
      </c>
      <c r="E42" s="31" t="n">
        <v>5</v>
      </c>
      <c r="F42" s="31">
        <f>IFERROR(MIN(C42,D42)*E42/C42,0)</f>
        <v/>
      </c>
      <c r="G42" s="31" t="n"/>
    </row>
    <row r="43" ht="13.5" customHeight="1" s="20">
      <c r="A43" s="29" t="n">
        <v>28</v>
      </c>
      <c r="B43" s="30" t="inlineStr">
        <is>
          <t>Anty cutter</t>
        </is>
      </c>
      <c r="C43" s="31" t="n">
        <v>7</v>
      </c>
      <c r="D43" s="31" t="n">
        <v>0</v>
      </c>
      <c r="E43" s="31" t="n">
        <v>3</v>
      </c>
      <c r="F43" s="31">
        <f>IFERROR(MIN(C43,D43)*E43/C43,0)</f>
        <v/>
      </c>
      <c r="G43" s="31" t="n"/>
    </row>
    <row r="44" ht="13.5" customHeight="1" s="20">
      <c r="A44" s="29" t="n">
        <v>29</v>
      </c>
      <c r="B44" s="30" t="inlineStr">
        <is>
          <t>Cutting Table with 6 drawers (3’ Hight) (4’x8’)</t>
        </is>
      </c>
      <c r="C44" s="31" t="n">
        <v>1</v>
      </c>
      <c r="D44" s="31" t="n">
        <v>0</v>
      </c>
      <c r="E44" s="31" t="n">
        <v>5</v>
      </c>
      <c r="F44" s="31">
        <f>IFERROR(MIN(C44,D44)*E44/C44,0)</f>
        <v/>
      </c>
      <c r="G44" s="31" t="n"/>
    </row>
    <row r="45" ht="13.5" customHeight="1" s="20">
      <c r="A45" s="29" t="n">
        <v>30</v>
      </c>
      <c r="B45" s="30" t="inlineStr">
        <is>
          <t>Digital scale</t>
        </is>
      </c>
      <c r="C45" s="31" t="n">
        <v>1</v>
      </c>
      <c r="D45" s="31" t="n">
        <v>0</v>
      </c>
      <c r="E45" s="31" t="n">
        <v>4</v>
      </c>
      <c r="F45" s="31">
        <f>IFERROR(MIN(C45,D45)*E45/C45,0)</f>
        <v/>
      </c>
      <c r="G45" s="31" t="n"/>
    </row>
    <row r="46" ht="13.5" customHeight="1" s="20">
      <c r="A46" s="29" t="n">
        <v>31</v>
      </c>
      <c r="B46" s="30" t="inlineStr">
        <is>
          <t>First aid kit</t>
        </is>
      </c>
      <c r="C46" s="31" t="n">
        <v>1</v>
      </c>
      <c r="D46" s="31" t="n">
        <v>0</v>
      </c>
      <c r="E46" s="31" t="n">
        <v>3</v>
      </c>
      <c r="F46" s="31">
        <f>IFERROR(MIN(C46,D46)*E46/C46,0)</f>
        <v/>
      </c>
      <c r="G46" s="31" t="n"/>
    </row>
    <row r="47" ht="13.5" customHeight="1" s="20">
      <c r="A47" s="29" t="n">
        <v>32</v>
      </c>
      <c r="B47" s="30" t="inlineStr">
        <is>
          <t>Fire extinguisher (for safety demonstration)</t>
        </is>
      </c>
      <c r="C47" s="31" t="n">
        <v>1</v>
      </c>
      <c r="D47" s="31" t="n">
        <v>0</v>
      </c>
      <c r="E47" s="31" t="n">
        <v>3</v>
      </c>
      <c r="F47" s="31">
        <f>IFERROR(MIN(C47,D47)*E47/C47,0)</f>
        <v/>
      </c>
      <c r="G47" s="31" t="n"/>
    </row>
    <row r="48" ht="15" customHeight="1" s="20">
      <c r="A48" s="32" t="inlineStr">
        <is>
          <t>Sum</t>
        </is>
      </c>
      <c r="B48" s="24" t="n"/>
      <c r="C48" s="24" t="n"/>
      <c r="D48" s="25" t="n"/>
      <c r="E48" s="32">
        <f>SUM(E16:E47)</f>
        <v/>
      </c>
      <c r="F48" s="32">
        <f>SUM(F16:F47)</f>
        <v/>
      </c>
      <c r="G48" s="33" t="n"/>
    </row>
    <row r="49" ht="15" customHeight="1" s="20">
      <c r="A49" s="32" t="inlineStr">
        <is>
          <t>Score out of 100</t>
        </is>
      </c>
      <c r="B49" s="24" t="n"/>
      <c r="C49" s="24" t="n"/>
      <c r="D49" s="24" t="n"/>
      <c r="E49" s="25" t="n"/>
      <c r="F49" s="32">
        <f>F48/E48*100</f>
        <v/>
      </c>
      <c r="G49" s="33" t="n"/>
    </row>
    <row r="50" ht="9.75" customHeight="1" s="20">
      <c r="A50" s="19" t="n"/>
    </row>
    <row r="51" ht="15" customHeight="1" s="20">
      <c r="A51" s="32" t="inlineStr">
        <is>
          <t xml:space="preserve">Total achieved points out of 30  </t>
        </is>
      </c>
      <c r="B51" s="24" t="n"/>
      <c r="C51" s="24" t="n"/>
      <c r="D51" s="24" t="n"/>
      <c r="E51" s="25" t="n"/>
      <c r="F51" s="32">
        <f>F49*30/100</f>
        <v/>
      </c>
      <c r="G51" s="32" t="inlineStr">
        <is>
          <t>Points</t>
        </is>
      </c>
    </row>
  </sheetData>
  <mergeCells count="8">
    <mergeCell ref="A13:G13"/>
    <mergeCell ref="C7:G7"/>
    <mergeCell ref="A1:G1"/>
    <mergeCell ref="A48:D48"/>
    <mergeCell ref="A50:G50"/>
    <mergeCell ref="A49:E49"/>
    <mergeCell ref="A51:E51"/>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L36" activeCellId="0" sqref="L36"/>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85" customHeight="1" s="20">
      <c r="A3" s="22" t="inlineStr">
        <is>
          <t>Course Name:</t>
        </is>
      </c>
      <c r="B3" s="22" t="inlineStr">
        <is>
          <t>Batching, Preparing and Drawing</t>
        </is>
      </c>
    </row>
    <row r="4" ht="26.25" customHeight="1" s="20">
      <c r="A4" s="22" t="inlineStr">
        <is>
          <t>Number of Trainees:</t>
        </is>
      </c>
      <c r="B4" s="22" t="n">
        <v>25</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25 trainees</t>
        </is>
      </c>
      <c r="D7" s="24" t="n"/>
      <c r="E7" s="24" t="n"/>
      <c r="F7" s="24" t="n"/>
      <c r="G7" s="24" t="n"/>
    </row>
    <row r="8" ht="51.75" customHeight="1" s="20">
      <c r="B8" s="22" t="inlineStr">
        <is>
          <t>Batching, Preparing and Drawing</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Batching, Preparing and Drawing,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v>0</v>
      </c>
      <c r="E16" s="31" t="n">
        <v>5</v>
      </c>
      <c r="F16" s="31">
        <f>IFERROR(MIN(C16,D16)*E16/C16,0)</f>
        <v/>
      </c>
      <c r="G16" s="31" t="n"/>
    </row>
    <row r="17" ht="13.5" customHeight="1" s="20">
      <c r="A17" s="29" t="n">
        <v>2</v>
      </c>
      <c r="B17" s="30" t="inlineStr">
        <is>
          <t>Multimedia projector &amp; screen</t>
        </is>
      </c>
      <c r="C17" s="31" t="n">
        <v>1</v>
      </c>
      <c r="D17" s="31" t="n">
        <v>0</v>
      </c>
      <c r="E17" s="31" t="n">
        <v>5</v>
      </c>
      <c r="F17" s="31">
        <f>IFERROR(MIN(C17,D17)*E17/C17,0)</f>
        <v/>
      </c>
      <c r="G17" s="31" t="n"/>
    </row>
    <row r="18" ht="13.5" customHeight="1" s="20">
      <c r="A18" s="29" t="n">
        <v>3</v>
      </c>
      <c r="B18" s="30" t="inlineStr">
        <is>
          <t>Scanner</t>
        </is>
      </c>
      <c r="C18" s="31" t="n">
        <v>1</v>
      </c>
      <c r="D18" s="31" t="n">
        <v>0</v>
      </c>
      <c r="E18" s="31" t="n">
        <v>4</v>
      </c>
      <c r="F18" s="31">
        <f>IFERROR(MIN(C18,D18)*E18/C18,0)</f>
        <v/>
      </c>
      <c r="G18" s="31" t="n"/>
    </row>
    <row r="19" ht="13.5" customHeight="1" s="20">
      <c r="A19" s="29" t="n">
        <v>4</v>
      </c>
      <c r="B19" s="30" t="inlineStr">
        <is>
          <t>Printer</t>
        </is>
      </c>
      <c r="C19" s="31" t="n">
        <v>1</v>
      </c>
      <c r="D19" s="31" t="n">
        <v>0</v>
      </c>
      <c r="E19" s="31" t="n">
        <v>4</v>
      </c>
      <c r="F19" s="31">
        <f>IFERROR(MIN(C19,D19)*E19/C19,0)</f>
        <v/>
      </c>
      <c r="G19" s="31" t="n"/>
    </row>
    <row r="20" ht="13.5" customHeight="1" s="20">
      <c r="A20" s="29" t="n">
        <v>5</v>
      </c>
      <c r="B20" s="30" t="inlineStr">
        <is>
          <t>Moister meter</t>
        </is>
      </c>
      <c r="C20" s="31" t="n">
        <v>5</v>
      </c>
      <c r="D20" s="31" t="n">
        <v>0</v>
      </c>
      <c r="E20" s="31" t="n">
        <v>6</v>
      </c>
      <c r="F20" s="31">
        <f>IFERROR(MIN(C20,D20)*E20/C20,0)</f>
        <v/>
      </c>
      <c r="G20" s="31" t="n"/>
    </row>
    <row r="21" ht="13.5" customHeight="1" s="20">
      <c r="A21" s="29" t="n">
        <v>6</v>
      </c>
      <c r="B21" s="30" t="inlineStr">
        <is>
          <t>Digital Weighing scale</t>
        </is>
      </c>
      <c r="C21" s="31" t="n">
        <v>1</v>
      </c>
      <c r="D21" s="31" t="n">
        <v>0</v>
      </c>
      <c r="E21" s="31" t="n">
        <v>6</v>
      </c>
      <c r="F21" s="31">
        <f>IFERROR(MIN(C21,D21)*E21/C21,0)</f>
        <v/>
      </c>
      <c r="G21" s="31" t="n"/>
    </row>
    <row r="22" ht="13.5" customHeight="1" s="20">
      <c r="A22" s="29" t="n">
        <v>7</v>
      </c>
      <c r="B22" s="30" t="inlineStr">
        <is>
          <t>Tensile strength tester</t>
        </is>
      </c>
      <c r="C22" s="31" t="n">
        <v>5</v>
      </c>
      <c r="D22" s="31" t="n">
        <v>0</v>
      </c>
      <c r="E22" s="31" t="n">
        <v>6</v>
      </c>
      <c r="F22" s="31">
        <f>IFERROR(MIN(C22,D22)*E22/C22,0)</f>
        <v/>
      </c>
      <c r="G22" s="31" t="n"/>
    </row>
    <row r="23" ht="13.5" customHeight="1" s="20">
      <c r="A23" s="29" t="n">
        <v>8</v>
      </c>
      <c r="B23" s="30" t="inlineStr">
        <is>
          <t>Measuring tape</t>
        </is>
      </c>
      <c r="C23" s="31" t="n">
        <v>15</v>
      </c>
      <c r="D23" s="31" t="n">
        <v>0</v>
      </c>
      <c r="E23" s="31" t="n">
        <v>4</v>
      </c>
      <c r="F23" s="31">
        <f>IFERROR(MIN(C23,D23)*E23/C23,0)</f>
        <v/>
      </c>
      <c r="G23" s="31" t="n"/>
    </row>
    <row r="24" ht="13.5" customHeight="1" s="20">
      <c r="A24" s="29" t="n">
        <v>9</v>
      </c>
      <c r="B24" s="30" t="inlineStr">
        <is>
          <t>Calculator</t>
        </is>
      </c>
      <c r="C24" s="31" t="n">
        <v>5</v>
      </c>
      <c r="D24" s="31" t="n">
        <v>0</v>
      </c>
      <c r="E24" s="31" t="n">
        <v>3</v>
      </c>
      <c r="F24" s="31">
        <f>IFERROR(MIN(C24,D24)*E24/C24,0)</f>
        <v/>
      </c>
      <c r="G24" s="31" t="n"/>
    </row>
    <row r="25" ht="13.5" customHeight="1" s="20">
      <c r="A25" s="29" t="n">
        <v>10</v>
      </c>
      <c r="B25" s="30" t="inlineStr">
        <is>
          <t>Techo meter</t>
        </is>
      </c>
      <c r="C25" s="31" t="n">
        <v>2</v>
      </c>
      <c r="D25" s="31" t="n">
        <v>0</v>
      </c>
      <c r="E25" s="31" t="n">
        <v>5</v>
      </c>
      <c r="F25" s="31">
        <f>IFERROR(MIN(C25,D25)*E25/C25,0)</f>
        <v/>
      </c>
      <c r="G25" s="31" t="n"/>
    </row>
    <row r="26" ht="13.5" customHeight="1" s="20">
      <c r="A26" s="29" t="n">
        <v>11</v>
      </c>
      <c r="B26" s="30" t="inlineStr">
        <is>
          <t>Hackling machine</t>
        </is>
      </c>
      <c r="C26" s="31" t="n">
        <v>5</v>
      </c>
      <c r="D26" s="31" t="n">
        <v>0</v>
      </c>
      <c r="E26" s="31" t="n">
        <v>9</v>
      </c>
      <c r="F26" s="31">
        <f>IFERROR(MIN(C26,D26)*E26/C26,0)</f>
        <v/>
      </c>
      <c r="G26" s="31" t="n"/>
    </row>
    <row r="27" ht="13.5" customHeight="1" s="20">
      <c r="A27" s="29" t="n">
        <v>12</v>
      </c>
      <c r="B27" s="30" t="inlineStr">
        <is>
          <t>Emulsion tank</t>
        </is>
      </c>
      <c r="C27" s="31" t="n">
        <v>1</v>
      </c>
      <c r="D27" s="31" t="n">
        <v>0</v>
      </c>
      <c r="E27" s="31" t="n">
        <v>8</v>
      </c>
      <c r="F27" s="31">
        <f>IFERROR(MIN(C27,D27)*E27/C27,0)</f>
        <v/>
      </c>
      <c r="G27" s="31" t="n"/>
    </row>
    <row r="28" ht="13.5" customHeight="1" s="20">
      <c r="A28" s="29" t="n">
        <v>13</v>
      </c>
      <c r="B28" s="30" t="inlineStr">
        <is>
          <t>Softener machine</t>
        </is>
      </c>
      <c r="C28" s="31" t="n">
        <v>1</v>
      </c>
      <c r="D28" s="31" t="n">
        <v>0</v>
      </c>
      <c r="E28" s="31" t="n">
        <v>9</v>
      </c>
      <c r="F28" s="31">
        <f>IFERROR(MIN(C28,D28)*E28/C28,0)</f>
        <v/>
      </c>
      <c r="G28" s="31" t="n"/>
    </row>
    <row r="29" ht="13.5" customHeight="1" s="20">
      <c r="A29" s="29" t="n">
        <v>14</v>
      </c>
      <c r="B29" s="30" t="inlineStr">
        <is>
          <t>Spreader machine</t>
        </is>
      </c>
      <c r="C29" s="31" t="n">
        <v>1</v>
      </c>
      <c r="D29" s="31" t="n">
        <v>0</v>
      </c>
      <c r="E29" s="31" t="n">
        <v>8</v>
      </c>
      <c r="F29" s="31">
        <f>IFERROR(MIN(C29,D29)*E29/C29,0)</f>
        <v/>
      </c>
      <c r="G29" s="31" t="n"/>
    </row>
    <row r="30" ht="13.5" customHeight="1" s="20">
      <c r="A30" s="29" t="n">
        <v>15</v>
      </c>
      <c r="B30" s="30" t="inlineStr">
        <is>
          <t>Breaker card (Hand feed, Roll feed)</t>
        </is>
      </c>
      <c r="C30" s="31" t="n">
        <v>2</v>
      </c>
      <c r="D30" s="31" t="n">
        <v>0</v>
      </c>
      <c r="E30" s="31" t="n">
        <v>9</v>
      </c>
      <c r="F30" s="31">
        <f>IFERROR(MIN(C30,D30)*E30/C30,0)</f>
        <v/>
      </c>
      <c r="G30" s="31" t="n"/>
    </row>
    <row r="31" ht="13.5" customHeight="1" s="20">
      <c r="A31" s="29" t="n">
        <v>16</v>
      </c>
      <c r="B31" s="30" t="inlineStr">
        <is>
          <t>Finisher card</t>
        </is>
      </c>
      <c r="C31" s="31" t="n">
        <v>4</v>
      </c>
      <c r="D31" s="31" t="n">
        <v>0</v>
      </c>
      <c r="E31" s="31" t="n">
        <v>9</v>
      </c>
      <c r="F31" s="31">
        <f>IFERROR(MIN(C31,D31)*E31/C31,0)</f>
        <v/>
      </c>
      <c r="G31" s="31" t="n"/>
    </row>
    <row r="32" ht="13.5" customHeight="1" s="20">
      <c r="A32" s="29" t="n">
        <v>17</v>
      </c>
      <c r="B32" s="30" t="inlineStr">
        <is>
          <t>Drawing (first, second and third)</t>
        </is>
      </c>
      <c r="C32" s="31" t="n">
        <v>3</v>
      </c>
      <c r="D32" s="31" t="n">
        <v>0</v>
      </c>
      <c r="E32" s="31" t="n">
        <v>10</v>
      </c>
      <c r="F32" s="31">
        <f>IFERROR(MIN(C32,D32)*E32/C32,0)</f>
        <v/>
      </c>
      <c r="G32" s="31" t="n"/>
    </row>
    <row r="33" ht="13.5" customHeight="1" s="20">
      <c r="A33" s="29" t="n">
        <v>18</v>
      </c>
      <c r="B33" s="30" t="inlineStr">
        <is>
          <t>Trolly</t>
        </is>
      </c>
      <c r="C33" s="31" t="n">
        <v>5</v>
      </c>
      <c r="D33" s="31" t="n">
        <v>0</v>
      </c>
      <c r="E33" s="31" t="n">
        <v>4</v>
      </c>
      <c r="F33" s="31">
        <f>IFERROR(MIN(C33,D33)*E33/C33,0)</f>
        <v/>
      </c>
      <c r="G33" s="31" t="n"/>
    </row>
    <row r="34" ht="13.5" customHeight="1" s="20">
      <c r="A34" s="29" t="n">
        <v>19</v>
      </c>
      <c r="B34" s="30" t="inlineStr">
        <is>
          <t>Dollop weight</t>
        </is>
      </c>
      <c r="C34" s="31" t="n">
        <v>2</v>
      </c>
      <c r="D34" s="31" t="n">
        <v>0</v>
      </c>
      <c r="E34" s="31" t="n">
        <v>4</v>
      </c>
      <c r="F34" s="31">
        <f>IFERROR(MIN(C34,D34)*E34/C34,0)</f>
        <v/>
      </c>
      <c r="G34" s="31" t="n"/>
    </row>
    <row r="35" ht="13.5" customHeight="1" s="20">
      <c r="A35" s="29" t="n">
        <v>20</v>
      </c>
      <c r="B35" s="30" t="inlineStr">
        <is>
          <t>Jute table</t>
        </is>
      </c>
      <c r="C35" s="31" t="n">
        <v>2</v>
      </c>
      <c r="D35" s="31" t="n">
        <v>0</v>
      </c>
      <c r="E35" s="31" t="n">
        <v>4</v>
      </c>
      <c r="F35" s="31">
        <f>IFERROR(MIN(C35,D35)*E35/C35,0)</f>
        <v/>
      </c>
      <c r="G35" s="31" t="n"/>
    </row>
    <row r="36" ht="13.5" customHeight="1" s="20">
      <c r="A36" s="29" t="n">
        <v>21</v>
      </c>
      <c r="B36" s="30" t="inlineStr">
        <is>
          <t>Pile cover</t>
        </is>
      </c>
      <c r="C36" s="31" t="n">
        <v>5</v>
      </c>
      <c r="D36" s="31" t="n">
        <v>0</v>
      </c>
      <c r="E36" s="31" t="n">
        <v>3</v>
      </c>
      <c r="F36" s="31">
        <f>IFERROR(MIN(C36,D36)*E36/C36,0)</f>
        <v/>
      </c>
      <c r="G36" s="31" t="n"/>
    </row>
    <row r="37" ht="13.5" customHeight="1" s="20">
      <c r="A37" s="29" t="n">
        <v>22</v>
      </c>
      <c r="B37" s="30" t="inlineStr">
        <is>
          <t>Reserve tank</t>
        </is>
      </c>
      <c r="C37" s="31" t="n">
        <v>1</v>
      </c>
      <c r="D37" s="31" t="n">
        <v>0</v>
      </c>
      <c r="E37" s="31" t="n">
        <v>5</v>
      </c>
      <c r="F37" s="31">
        <f>IFERROR(MIN(C37,D37)*E37/C37,0)</f>
        <v/>
      </c>
      <c r="G37" s="31" t="n"/>
    </row>
    <row r="38" ht="13.5" customHeight="1" s="20">
      <c r="A38" s="29" t="n">
        <v>23</v>
      </c>
      <c r="B38" s="30" t="inlineStr">
        <is>
          <t>Danage</t>
        </is>
      </c>
      <c r="C38" s="31" t="n">
        <v>10</v>
      </c>
      <c r="D38" s="31" t="n">
        <v>0</v>
      </c>
      <c r="E38" s="31" t="n">
        <v>3</v>
      </c>
      <c r="F38" s="31">
        <f>IFERROR(MIN(C38,D38)*E38/C38,0)</f>
        <v/>
      </c>
      <c r="G38" s="31" t="n"/>
    </row>
    <row r="39" ht="13.5" customHeight="1" s="20">
      <c r="A39" s="29" t="n">
        <v>24</v>
      </c>
      <c r="B39" s="30" t="inlineStr">
        <is>
          <t>Digital scale (40 kg)</t>
        </is>
      </c>
      <c r="C39" s="31" t="n">
        <v>1</v>
      </c>
      <c r="D39" s="31" t="n">
        <v>0</v>
      </c>
      <c r="E39" s="31" t="n">
        <v>5</v>
      </c>
      <c r="F39" s="31">
        <f>IFERROR(MIN(C39,D39)*E39/C39,0)</f>
        <v/>
      </c>
      <c r="G39" s="31" t="n"/>
    </row>
    <row r="40" ht="15" customHeight="1" s="20">
      <c r="A40" s="32" t="inlineStr">
        <is>
          <t>Sum</t>
        </is>
      </c>
      <c r="B40" s="24" t="n"/>
      <c r="C40" s="24" t="n"/>
      <c r="D40" s="25" t="n"/>
      <c r="E40" s="32">
        <f>SUM(E16:E39)</f>
        <v/>
      </c>
      <c r="F40" s="32">
        <f>SUM(F16:F39)</f>
        <v/>
      </c>
      <c r="G40" s="33" t="n"/>
    </row>
    <row r="41" ht="15" customHeight="1" s="20">
      <c r="A41" s="32" t="inlineStr">
        <is>
          <t>Score out of 100</t>
        </is>
      </c>
      <c r="B41" s="24" t="n"/>
      <c r="C41" s="24" t="n"/>
      <c r="D41" s="24" t="n"/>
      <c r="E41" s="25" t="n"/>
      <c r="F41" s="32">
        <f>F40/E40*100</f>
        <v/>
      </c>
      <c r="G41" s="33" t="n"/>
    </row>
    <row r="42" ht="9.75" customHeight="1" s="20">
      <c r="A42" s="19" t="n"/>
    </row>
    <row r="43" ht="15" customHeight="1" s="20">
      <c r="A43" s="32" t="inlineStr">
        <is>
          <t xml:space="preserve">Total achieved points out of 30  </t>
        </is>
      </c>
      <c r="B43" s="24" t="n"/>
      <c r="C43" s="24" t="n"/>
      <c r="D43" s="24" t="n"/>
      <c r="E43" s="25" t="n"/>
      <c r="F43" s="32">
        <f>F41*30/100</f>
        <v/>
      </c>
      <c r="G43" s="32" t="inlineStr">
        <is>
          <t>Points</t>
        </is>
      </c>
    </row>
  </sheetData>
  <mergeCells count="8">
    <mergeCell ref="A13:G13"/>
    <mergeCell ref="A40:D40"/>
    <mergeCell ref="C7:G7"/>
    <mergeCell ref="A1:G1"/>
    <mergeCell ref="A43:E43"/>
    <mergeCell ref="A41:E41"/>
    <mergeCell ref="C8:G8"/>
    <mergeCell ref="A42:G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style="20" min="1" max="1"/>
    <col width="33.13" customWidth="1" style="20" min="2" max="2"/>
    <col width="13.72" customWidth="1" style="20" min="3" max="3"/>
    <col width="13.72" customWidth="1" style="20" min="4" max="4"/>
    <col width="13.72" customWidth="1" style="20" min="5" max="5"/>
    <col width="13.72" customWidth="1" style="20" min="6" max="6"/>
    <col width="13.72" customWidth="1" style="20" min="7" max="7"/>
  </cols>
  <sheetData>
    <row r="1" ht="17.35" customHeight="1" s="20">
      <c r="A1" s="36" t="inlineStr">
        <is>
          <t>Course-wise Training Infrastructure and Facilities</t>
        </is>
      </c>
    </row>
    <row r="3">
      <c r="A3" s="37" t="inlineStr">
        <is>
          <t>Course Name:</t>
        </is>
      </c>
      <c r="B3" s="37" t="inlineStr">
        <is>
          <t>Industry Supervisor</t>
        </is>
      </c>
    </row>
    <row r="4" ht="26.85" customHeight="1" s="20">
      <c r="A4" s="37" t="inlineStr">
        <is>
          <t>Number of Trainees:</t>
        </is>
      </c>
      <c r="B4" s="37" t="n">
        <v>30</v>
      </c>
    </row>
    <row r="6">
      <c r="A6" s="38" t="inlineStr">
        <is>
          <t>Course-wise Training Space (Theoretical Classroom, Workshop/ Lab/ Classroom cum Workshop)</t>
        </is>
      </c>
    </row>
    <row r="7">
      <c r="B7" s="37" t="inlineStr">
        <is>
          <t>Course Name</t>
        </is>
      </c>
      <c r="C7" s="37" t="inlineStr">
        <is>
          <t>SICIP required space for 30 trainees</t>
        </is>
      </c>
      <c r="D7" s="24" t="n"/>
      <c r="E7" s="24" t="n"/>
      <c r="F7" s="24" t="n"/>
      <c r="G7" s="25" t="n"/>
    </row>
    <row r="8" ht="52.2" customHeight="1" s="20">
      <c r="B8" s="37" t="inlineStr">
        <is>
          <t>Industry Supervisor</t>
        </is>
      </c>
      <c r="C8" s="39" t="inlineStr">
        <is>
          <t>Classroom - 350 sft (33 sqm)
Workshop/ lab - 800 sft (75 sqm)
OR
Classroom cum workshop - 1000 sft (93 sqm)</t>
        </is>
      </c>
      <c r="D8" s="24" t="n"/>
      <c r="E8" s="24" t="n"/>
      <c r="F8" s="24" t="n"/>
      <c r="G8" s="25" t="n"/>
    </row>
    <row r="11">
      <c r="A11" s="38" t="inlineStr">
        <is>
          <t>Major Training Equipment and Training Facilities</t>
        </is>
      </c>
    </row>
    <row r="13" ht="115.65" customHeight="1" s="20">
      <c r="A13" s="40"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Industry Supervisor,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s="20">
      <c r="A15" s="41" t="inlineStr">
        <is>
          <t>S.N.</t>
        </is>
      </c>
      <c r="B15" s="41" t="inlineStr">
        <is>
          <t>Major Equipment and Training facilities</t>
        </is>
      </c>
      <c r="C15" s="41" t="inlineStr">
        <is>
          <t>Required facilities</t>
        </is>
      </c>
      <c r="D15" s="41" t="inlineStr">
        <is>
          <t>Available facilities</t>
        </is>
      </c>
      <c r="E15" s="41" t="inlineStr">
        <is>
          <t>Weights
(out of 10)</t>
        </is>
      </c>
      <c r="F15" s="41" t="inlineStr">
        <is>
          <t>Weighted scores</t>
        </is>
      </c>
      <c r="G15" s="41" t="inlineStr">
        <is>
          <t>Remarks</t>
        </is>
      </c>
    </row>
    <row r="16" ht="14.15" customHeight="1" s="20">
      <c r="A16" s="42" t="n">
        <v>1</v>
      </c>
      <c r="B16" s="43" t="inlineStr">
        <is>
          <t>Computer/Laptops</t>
        </is>
      </c>
      <c r="C16" s="44" t="n">
        <v>1</v>
      </c>
      <c r="D16" s="44" t="n">
        <v>0</v>
      </c>
      <c r="E16" s="44" t="n">
        <v>5</v>
      </c>
      <c r="F16" s="44">
        <f>IFERROR(MIN(C16,D16)*E16/C16,0)</f>
        <v/>
      </c>
      <c r="G16" s="44" t="n"/>
    </row>
    <row r="17" ht="14.15" customHeight="1" s="20">
      <c r="A17" s="42" t="n">
        <v>2</v>
      </c>
      <c r="B17" s="43" t="inlineStr">
        <is>
          <t>Multimedia projector &amp; screen</t>
        </is>
      </c>
      <c r="C17" s="44" t="n">
        <v>1</v>
      </c>
      <c r="D17" s="44" t="n">
        <v>0</v>
      </c>
      <c r="E17" s="44" t="n">
        <v>5</v>
      </c>
      <c r="F17" s="44">
        <f>IFERROR(MIN(C17,D17)*E17/C17,0)</f>
        <v/>
      </c>
      <c r="G17" s="44" t="n"/>
    </row>
    <row r="18" ht="14.15" customHeight="1" s="20">
      <c r="A18" s="42" t="n">
        <v>3</v>
      </c>
      <c r="B18" s="43" t="inlineStr">
        <is>
          <t>Internet connectivity</t>
        </is>
      </c>
      <c r="C18" s="44" t="n">
        <v>1</v>
      </c>
      <c r="D18" s="44" t="n">
        <v>0</v>
      </c>
      <c r="E18" s="44" t="n">
        <v>4</v>
      </c>
      <c r="F18" s="44">
        <f>IFERROR(MIN(C18,D18)*E18/C18,0)</f>
        <v/>
      </c>
      <c r="G18" s="44" t="n"/>
    </row>
    <row r="19" ht="14.15" customHeight="1" s="20">
      <c r="A19" s="42" t="n">
        <v>4</v>
      </c>
      <c r="B19" s="43" t="inlineStr">
        <is>
          <t>Whiteboard and markers</t>
        </is>
      </c>
      <c r="C19" s="44" t="n">
        <v>1</v>
      </c>
      <c r="D19" s="44" t="n">
        <v>0</v>
      </c>
      <c r="E19" s="44" t="n">
        <v>4</v>
      </c>
      <c r="F19" s="44">
        <f>IFERROR(MIN(C19,D19)*E19/C19,0)</f>
        <v/>
      </c>
      <c r="G19" s="44" t="n"/>
    </row>
    <row r="20" ht="14.15" customHeight="1" s="20">
      <c r="A20" s="42" t="n">
        <v>5</v>
      </c>
      <c r="B20" s="43" t="inlineStr">
        <is>
          <t>Flip chart stand with paper</t>
        </is>
      </c>
      <c r="C20" s="44" t="n">
        <v>2</v>
      </c>
      <c r="D20" s="44" t="n">
        <v>0</v>
      </c>
      <c r="E20" s="44" t="n">
        <v>3</v>
      </c>
      <c r="F20" s="44">
        <f>IFERROR(MIN(C20,D20)*E20/C20,0)</f>
        <v/>
      </c>
      <c r="G20" s="44" t="n"/>
    </row>
    <row r="21" ht="14.15" customHeight="1" s="20">
      <c r="A21" s="42" t="n">
        <v>6</v>
      </c>
      <c r="B21" s="43" t="inlineStr">
        <is>
          <t>Jute fiber samples (assorted grades)</t>
        </is>
      </c>
      <c r="C21" s="44" t="n">
        <v>1</v>
      </c>
      <c r="D21" s="44" t="n">
        <v>0</v>
      </c>
      <c r="E21" s="44" t="n">
        <v>6</v>
      </c>
      <c r="F21" s="44">
        <f>IFERROR(MIN(C21,D21)*E21/C21,0)</f>
        <v/>
      </c>
      <c r="G21" s="44" t="n"/>
    </row>
    <row r="22" ht="14.15" customHeight="1" s="20">
      <c r="A22" s="42" t="n">
        <v>7</v>
      </c>
      <c r="B22" s="43" t="inlineStr">
        <is>
          <t>Jute product samples (hessian, sacking, CBC, yarn, geo-textile, handicraft)</t>
        </is>
      </c>
      <c r="C22" s="44" t="n">
        <v>1</v>
      </c>
      <c r="D22" s="44" t="n">
        <v>0</v>
      </c>
      <c r="E22" s="44" t="n">
        <v>6</v>
      </c>
      <c r="F22" s="44">
        <f>IFERROR(MIN(C22,D22)*E22/C22,0)</f>
        <v/>
      </c>
      <c r="G22" s="44" t="n"/>
    </row>
    <row r="23" ht="14.15" customHeight="1" s="20">
      <c r="A23" s="42" t="n">
        <v>8</v>
      </c>
      <c r="B23" s="43" t="inlineStr">
        <is>
          <t>Carding machine model/working demo unit (or video demonstration setup)</t>
        </is>
      </c>
      <c r="C23" s="44" t="n">
        <v>1</v>
      </c>
      <c r="D23" s="44" t="n">
        <v>0</v>
      </c>
      <c r="E23" s="44" t="n">
        <v>7</v>
      </c>
      <c r="F23" s="44">
        <f>IFERROR(MIN(C23,D23)*E23/C23,0)</f>
        <v/>
      </c>
      <c r="G23" s="44" t="n"/>
    </row>
    <row r="24" ht="14.15" customHeight="1" s="20">
      <c r="A24" s="42" t="n">
        <v>9</v>
      </c>
      <c r="B24" s="43" t="inlineStr">
        <is>
          <t>Ring spinning frame model/demo unit (or video demonstration)</t>
        </is>
      </c>
      <c r="C24" s="44" t="n">
        <v>1</v>
      </c>
      <c r="D24" s="44" t="n">
        <v>0</v>
      </c>
      <c r="E24" s="44" t="n">
        <v>7</v>
      </c>
      <c r="F24" s="44">
        <f>IFERROR(MIN(C24,D24)*E24/C24,0)</f>
        <v/>
      </c>
      <c r="G24" s="44" t="n"/>
    </row>
    <row r="25" ht="14.15" customHeight="1" s="20">
      <c r="A25" s="42" t="n">
        <v>10</v>
      </c>
      <c r="B25" s="43" t="inlineStr">
        <is>
          <t>Spinning frame model</t>
        </is>
      </c>
      <c r="C25" s="44" t="n">
        <v>1</v>
      </c>
      <c r="D25" s="44" t="n">
        <v>0</v>
      </c>
      <c r="E25" s="44" t="n">
        <v>7</v>
      </c>
      <c r="F25" s="44">
        <f>IFERROR(MIN(C25,D25)*E25/C25,0)</f>
        <v/>
      </c>
      <c r="G25" s="44" t="n"/>
    </row>
    <row r="26" ht="14.15" customHeight="1" s="20">
      <c r="A26" s="42" t="n">
        <v>11</v>
      </c>
      <c r="B26" s="43" t="inlineStr">
        <is>
          <t>Winding (Roll winding, Cop winding) (Visual Demonstrations)</t>
        </is>
      </c>
      <c r="C26" s="44" t="n">
        <v>1</v>
      </c>
      <c r="D26" s="44" t="n">
        <v>0</v>
      </c>
      <c r="E26" s="44" t="n">
        <v>6</v>
      </c>
      <c r="F26" s="44">
        <f>IFERROR(MIN(C26,D26)*E26/C26,0)</f>
        <v/>
      </c>
      <c r="G26" s="44" t="n"/>
    </row>
    <row r="27" ht="14.15" customHeight="1" s="20">
      <c r="A27" s="42" t="n">
        <v>12</v>
      </c>
      <c r="B27" s="43" t="inlineStr">
        <is>
          <t>Dry Beaming (Visual Demonstrations)</t>
        </is>
      </c>
      <c r="C27" s="44" t="n">
        <v>1</v>
      </c>
      <c r="D27" s="44" t="n">
        <v>0</v>
      </c>
      <c r="E27" s="44" t="n">
        <v>6</v>
      </c>
      <c r="F27" s="44">
        <f>IFERROR(MIN(C27,D27)*E27/C27,0)</f>
        <v/>
      </c>
      <c r="G27" s="44" t="n"/>
    </row>
    <row r="28" ht="14.15" customHeight="1" s="20">
      <c r="A28" s="42" t="n">
        <v>13</v>
      </c>
      <c r="B28" s="43" t="inlineStr">
        <is>
          <t>Dressing (Visual Demonstrations)</t>
        </is>
      </c>
      <c r="C28" s="44" t="n">
        <v>1</v>
      </c>
      <c r="D28" s="44" t="n">
        <v>0</v>
      </c>
      <c r="E28" s="44" t="n">
        <v>6</v>
      </c>
      <c r="F28" s="44">
        <f>IFERROR(MIN(C28,D28)*E28/C28,0)</f>
        <v/>
      </c>
      <c r="G28" s="44" t="n"/>
    </row>
    <row r="29" ht="14.15" customHeight="1" s="20">
      <c r="A29" s="42" t="n">
        <v>14</v>
      </c>
      <c r="B29" s="43" t="inlineStr">
        <is>
          <t>Weaving</t>
        </is>
      </c>
      <c r="C29" s="44" t="n">
        <v>1</v>
      </c>
      <c r="D29" s="44" t="n">
        <v>0</v>
      </c>
      <c r="E29" s="44" t="n">
        <v>7</v>
      </c>
      <c r="F29" s="44">
        <f>IFERROR(MIN(C29,D29)*E29/C29,0)</f>
        <v/>
      </c>
      <c r="G29" s="44" t="n"/>
    </row>
    <row r="30" ht="14.15" customHeight="1" s="20">
      <c r="A30" s="42" t="n">
        <v>15</v>
      </c>
      <c r="B30" s="43" t="inlineStr">
        <is>
          <t>Opening Machine (Visual Demonstrations)</t>
        </is>
      </c>
      <c r="C30" s="44" t="n">
        <v>1</v>
      </c>
      <c r="D30" s="44" t="n">
        <v>0</v>
      </c>
      <c r="E30" s="44" t="n">
        <v>6</v>
      </c>
      <c r="F30" s="44">
        <f>IFERROR(MIN(C30,D30)*E30/C30,0)</f>
        <v/>
      </c>
      <c r="G30" s="44" t="n"/>
    </row>
    <row r="31" ht="14.15" customHeight="1" s="20">
      <c r="A31" s="42" t="n">
        <v>16</v>
      </c>
      <c r="B31" s="43" t="inlineStr">
        <is>
          <t>Damping Machine (Visual Demonstrations)</t>
        </is>
      </c>
      <c r="C31" s="44" t="n">
        <v>1</v>
      </c>
      <c r="D31" s="44" t="n">
        <v>0</v>
      </c>
      <c r="E31" s="44" t="n">
        <v>6</v>
      </c>
      <c r="F31" s="44">
        <f>IFERROR(MIN(C31,D31)*E31/C31,0)</f>
        <v/>
      </c>
      <c r="G31" s="44" t="n"/>
    </row>
    <row r="32" ht="14.15" customHeight="1" s="20">
      <c r="A32" s="42" t="n">
        <v>17</v>
      </c>
      <c r="B32" s="43" t="inlineStr">
        <is>
          <t>Calendaring (Visual Demonstrations)</t>
        </is>
      </c>
      <c r="C32" s="44" t="n">
        <v>1</v>
      </c>
      <c r="D32" s="44" t="n">
        <v>0</v>
      </c>
      <c r="E32" s="44" t="n">
        <v>6</v>
      </c>
      <c r="F32" s="44">
        <f>IFERROR(MIN(C32,D32)*E32/C32,0)</f>
        <v/>
      </c>
      <c r="G32" s="44" t="n"/>
    </row>
    <row r="33" ht="14.15" customHeight="1" s="20">
      <c r="A33" s="42" t="n">
        <v>18</v>
      </c>
      <c r="B33" s="43" t="inlineStr">
        <is>
          <t>Mangling (Visual Demonstrations)</t>
        </is>
      </c>
      <c r="C33" s="44" t="n">
        <v>1</v>
      </c>
      <c r="D33" s="44" t="n">
        <v>0</v>
      </c>
      <c r="E33" s="44" t="n">
        <v>6</v>
      </c>
      <c r="F33" s="44">
        <f>IFERROR(MIN(C33,D33)*E33/C33,0)</f>
        <v/>
      </c>
      <c r="G33" s="44" t="n"/>
    </row>
    <row r="34" ht="14.15" customHeight="1" s="20">
      <c r="A34" s="42" t="n">
        <v>19</v>
      </c>
      <c r="B34" s="43" t="inlineStr">
        <is>
          <t>Lapping (Visual Demonstrations)</t>
        </is>
      </c>
      <c r="C34" s="44" t="n">
        <v>1</v>
      </c>
      <c r="D34" s="44" t="n">
        <v>0</v>
      </c>
      <c r="E34" s="44" t="n">
        <v>6</v>
      </c>
      <c r="F34" s="44">
        <f>IFERROR(MIN(C34,D34)*E34/C34,0)</f>
        <v/>
      </c>
      <c r="G34" s="44" t="n"/>
    </row>
    <row r="35" ht="14.15" customHeight="1" s="20">
      <c r="A35" s="42" t="n">
        <v>20</v>
      </c>
      <c r="B35" s="43" t="inlineStr">
        <is>
          <t>Cutting (Visual Demonstrations)</t>
        </is>
      </c>
      <c r="C35" s="44" t="n">
        <v>1</v>
      </c>
      <c r="D35" s="44" t="n">
        <v>0</v>
      </c>
      <c r="E35" s="44" t="n">
        <v>6</v>
      </c>
      <c r="F35" s="44">
        <f>IFERROR(MIN(C35,D35)*E35/C35,0)</f>
        <v/>
      </c>
      <c r="G35" s="44" t="n"/>
    </row>
    <row r="36" ht="14.15" customHeight="1" s="20">
      <c r="A36" s="42" t="n">
        <v>21</v>
      </c>
      <c r="B36" s="43" t="inlineStr">
        <is>
          <t>Sewing (Visual Demonstrations)</t>
        </is>
      </c>
      <c r="C36" s="44" t="n">
        <v>1</v>
      </c>
      <c r="D36" s="44" t="n">
        <v>0</v>
      </c>
      <c r="E36" s="44" t="n">
        <v>6</v>
      </c>
      <c r="F36" s="44">
        <f>IFERROR(MIN(C36,D36)*E36/C36,0)</f>
        <v/>
      </c>
      <c r="G36" s="44" t="n"/>
    </row>
    <row r="37" ht="14.15" customHeight="1" s="20">
      <c r="A37" s="42" t="n">
        <v>22</v>
      </c>
      <c r="B37" s="43" t="inlineStr">
        <is>
          <t>Baling (Visual Demonstrations)</t>
        </is>
      </c>
      <c r="C37" s="44" t="n">
        <v>1</v>
      </c>
      <c r="D37" s="44" t="n">
        <v>0</v>
      </c>
      <c r="E37" s="44" t="n">
        <v>6</v>
      </c>
      <c r="F37" s="44">
        <f>IFERROR(MIN(C37,D37)*E37/C37,0)</f>
        <v/>
      </c>
      <c r="G37" s="44" t="n"/>
    </row>
    <row r="38" ht="14.15" customHeight="1" s="20">
      <c r="A38" s="42" t="n">
        <v>23</v>
      </c>
      <c r="B38" s="43" t="inlineStr">
        <is>
          <t>Dust shaker (Visual Demonstrations)</t>
        </is>
      </c>
      <c r="C38" s="44" t="n">
        <v>1</v>
      </c>
      <c r="D38" s="44" t="n">
        <v>0</v>
      </c>
      <c r="E38" s="44" t="n">
        <v>6</v>
      </c>
      <c r="F38" s="44">
        <f>IFERROR(MIN(C38,D38)*E38/C38,0)</f>
        <v/>
      </c>
      <c r="G38" s="44" t="n"/>
    </row>
    <row r="39" ht="14.15" customHeight="1" s="20">
      <c r="A39" s="42" t="n">
        <v>24</v>
      </c>
      <c r="B39" s="43" t="inlineStr">
        <is>
          <t>Hand loom (for demonstration of weaving principles)</t>
        </is>
      </c>
      <c r="C39" s="44" t="n">
        <v>2</v>
      </c>
      <c r="D39" s="44" t="n">
        <v>0</v>
      </c>
      <c r="E39" s="44" t="n">
        <v>6</v>
      </c>
      <c r="F39" s="44">
        <f>IFERROR(MIN(C39,D39)*E39/C39,0)</f>
        <v/>
      </c>
      <c r="G39" s="44" t="n"/>
    </row>
    <row r="40" ht="14.15" customHeight="1" s="20">
      <c r="A40" s="42" t="n">
        <v>25</v>
      </c>
      <c r="B40" s="43" t="inlineStr">
        <is>
          <t>Power loom</t>
        </is>
      </c>
      <c r="C40" s="44" t="n">
        <v>1</v>
      </c>
      <c r="D40" s="44" t="n">
        <v>0</v>
      </c>
      <c r="E40" s="44" t="n">
        <v>7</v>
      </c>
      <c r="F40" s="44">
        <f>IFERROR(MIN(C40,D40)*E40/C40,0)</f>
        <v/>
      </c>
      <c r="G40" s="44" t="n"/>
    </row>
    <row r="41" ht="14.15" customHeight="1" s="20">
      <c r="A41" s="42" t="n">
        <v>26</v>
      </c>
      <c r="B41" s="43" t="inlineStr">
        <is>
          <t>GSM balance (Quadrant balance)</t>
        </is>
      </c>
      <c r="C41" s="44" t="n">
        <v>2</v>
      </c>
      <c r="D41" s="44" t="n">
        <v>0</v>
      </c>
      <c r="E41" s="44" t="n">
        <v>6</v>
      </c>
      <c r="F41" s="44">
        <f>IFERROR(MIN(C41,D41)*E41/C41,0)</f>
        <v/>
      </c>
      <c r="G41" s="44" t="n"/>
    </row>
    <row r="42" ht="14.15" customHeight="1" s="20">
      <c r="A42" s="42" t="n">
        <v>27</v>
      </c>
      <c r="B42" s="43" t="inlineStr">
        <is>
          <t>Moister meter</t>
        </is>
      </c>
      <c r="C42" s="44" t="n">
        <v>5</v>
      </c>
      <c r="D42" s="44" t="n">
        <v>0</v>
      </c>
      <c r="E42" s="44" t="n">
        <v>6</v>
      </c>
      <c r="F42" s="44">
        <f>IFERROR(MIN(C42,D42)*E42/C42,0)</f>
        <v/>
      </c>
      <c r="G42" s="44" t="n"/>
    </row>
    <row r="43" ht="14.15" customHeight="1" s="20">
      <c r="A43" s="42" t="n">
        <v>28</v>
      </c>
      <c r="B43" s="43" t="inlineStr">
        <is>
          <t>Digital Weighing scale</t>
        </is>
      </c>
      <c r="C43" s="44" t="n">
        <v>1</v>
      </c>
      <c r="D43" s="44" t="n">
        <v>0</v>
      </c>
      <c r="E43" s="44" t="n">
        <v>5</v>
      </c>
      <c r="F43" s="44">
        <f>IFERROR(MIN(C43,D43)*E43/C43,0)</f>
        <v/>
      </c>
      <c r="G43" s="44" t="n"/>
    </row>
    <row r="44" ht="14.15" customHeight="1" s="20">
      <c r="A44" s="42" t="n">
        <v>29</v>
      </c>
      <c r="B44" s="43" t="inlineStr">
        <is>
          <t>Tensile strength tester</t>
        </is>
      </c>
      <c r="C44" s="44" t="n">
        <v>5</v>
      </c>
      <c r="D44" s="44" t="n">
        <v>0</v>
      </c>
      <c r="E44" s="44" t="n">
        <v>6</v>
      </c>
      <c r="F44" s="44">
        <f>IFERROR(MIN(C44,D44)*E44/C44,0)</f>
        <v/>
      </c>
      <c r="G44" s="44" t="n"/>
    </row>
    <row r="45" ht="14.15" customHeight="1" s="20">
      <c r="A45" s="42" t="n">
        <v>30</v>
      </c>
      <c r="B45" s="43" t="inlineStr">
        <is>
          <t>Measuring tape</t>
        </is>
      </c>
      <c r="C45" s="44" t="n">
        <v>15</v>
      </c>
      <c r="D45" s="44" t="n">
        <v>0</v>
      </c>
      <c r="E45" s="44" t="n">
        <v>4</v>
      </c>
      <c r="F45" s="44">
        <f>IFERROR(MIN(C45,D45)*E45/C45,0)</f>
        <v/>
      </c>
      <c r="G45" s="44" t="n"/>
    </row>
    <row r="46" ht="14.15" customHeight="1" s="20">
      <c r="A46" s="42" t="n">
        <v>31</v>
      </c>
      <c r="B46" s="43" t="inlineStr">
        <is>
          <t>Calculator</t>
        </is>
      </c>
      <c r="C46" s="44" t="n">
        <v>5</v>
      </c>
      <c r="D46" s="44" t="n">
        <v>0</v>
      </c>
      <c r="E46" s="44" t="n">
        <v>3</v>
      </c>
      <c r="F46" s="44">
        <f>IFERROR(MIN(C46,D46)*E46/C46,0)</f>
        <v/>
      </c>
      <c r="G46" s="44" t="n"/>
    </row>
    <row r="47" ht="14.15" customHeight="1" s="20">
      <c r="A47" s="42" t="n">
        <v>32</v>
      </c>
      <c r="B47" s="43" t="inlineStr">
        <is>
          <t>Techo meter</t>
        </is>
      </c>
      <c r="C47" s="44" t="n">
        <v>2</v>
      </c>
      <c r="D47" s="44" t="n">
        <v>0</v>
      </c>
      <c r="E47" s="44" t="n">
        <v>5</v>
      </c>
      <c r="F47" s="44">
        <f>IFERROR(MIN(C47,D47)*E47/C47,0)</f>
        <v/>
      </c>
      <c r="G47" s="44" t="n"/>
    </row>
    <row r="48" ht="14.15" customHeight="1" s="20">
      <c r="A48" s="42" t="n">
        <v>33</v>
      </c>
      <c r="B48" s="43" t="inlineStr">
        <is>
          <t>Hackling machine</t>
        </is>
      </c>
      <c r="C48" s="44" t="n">
        <v>5</v>
      </c>
      <c r="D48" s="44" t="n">
        <v>0</v>
      </c>
      <c r="E48" s="44" t="n">
        <v>8</v>
      </c>
      <c r="F48" s="44">
        <f>IFERROR(MIN(C48,D48)*E48/C48,0)</f>
        <v/>
      </c>
      <c r="G48" s="44" t="n"/>
    </row>
    <row r="49" ht="14.15" customHeight="1" s="20">
      <c r="A49" s="42" t="n">
        <v>34</v>
      </c>
      <c r="B49" s="43" t="inlineStr">
        <is>
          <t>Emulsion tank</t>
        </is>
      </c>
      <c r="C49" s="44" t="n">
        <v>1</v>
      </c>
      <c r="D49" s="44" t="n">
        <v>0</v>
      </c>
      <c r="E49" s="44" t="n">
        <v>7</v>
      </c>
      <c r="F49" s="44">
        <f>IFERROR(MIN(C49,D49)*E49/C49,0)</f>
        <v/>
      </c>
      <c r="G49" s="44" t="n"/>
    </row>
    <row r="50" ht="14.15" customHeight="1" s="20">
      <c r="A50" s="42" t="n">
        <v>35</v>
      </c>
      <c r="B50" s="43" t="inlineStr">
        <is>
          <t>Softener machine</t>
        </is>
      </c>
      <c r="C50" s="44" t="n">
        <v>1</v>
      </c>
      <c r="D50" s="44" t="n">
        <v>0</v>
      </c>
      <c r="E50" s="44" t="n">
        <v>8</v>
      </c>
      <c r="F50" s="44">
        <f>IFERROR(MIN(C50,D50)*E50/C50,0)</f>
        <v/>
      </c>
      <c r="G50" s="44" t="n"/>
    </row>
    <row r="51" ht="14.15" customHeight="1" s="20">
      <c r="A51" s="42" t="n">
        <v>36</v>
      </c>
      <c r="B51" s="43" t="inlineStr">
        <is>
          <t>Spreader machine</t>
        </is>
      </c>
      <c r="C51" s="44" t="n">
        <v>1</v>
      </c>
      <c r="D51" s="44" t="n">
        <v>0</v>
      </c>
      <c r="E51" s="44" t="n">
        <v>7</v>
      </c>
      <c r="F51" s="44">
        <f>IFERROR(MIN(C51,D51)*E51/C51,0)</f>
        <v/>
      </c>
      <c r="G51" s="44" t="n"/>
    </row>
    <row r="52" ht="14.15" customHeight="1" s="20">
      <c r="A52" s="42" t="n">
        <v>37</v>
      </c>
      <c r="B52" s="43" t="inlineStr">
        <is>
          <t>Breaker card (Hand feed, Roll feed)</t>
        </is>
      </c>
      <c r="C52" s="44" t="n">
        <v>2</v>
      </c>
      <c r="D52" s="44" t="n">
        <v>0</v>
      </c>
      <c r="E52" s="44" t="n">
        <v>8</v>
      </c>
      <c r="F52" s="44">
        <f>IFERROR(MIN(C52,D52)*E52/C52,0)</f>
        <v/>
      </c>
      <c r="G52" s="44" t="n"/>
    </row>
    <row r="53" ht="14.15" customHeight="1" s="20">
      <c r="A53" s="42" t="n">
        <v>38</v>
      </c>
      <c r="B53" s="43" t="inlineStr">
        <is>
          <t>Finisher card</t>
        </is>
      </c>
      <c r="C53" s="44" t="n">
        <v>4</v>
      </c>
      <c r="D53" s="44" t="n">
        <v>0</v>
      </c>
      <c r="E53" s="44" t="n">
        <v>8</v>
      </c>
      <c r="F53" s="44">
        <f>IFERROR(MIN(C53,D53)*E53/C53,0)</f>
        <v/>
      </c>
      <c r="G53" s="44" t="n"/>
    </row>
    <row r="54" ht="14.15" customHeight="1" s="20">
      <c r="A54" s="42" t="n">
        <v>39</v>
      </c>
      <c r="B54" s="43" t="inlineStr">
        <is>
          <t>Drawing (first, second and third)</t>
        </is>
      </c>
      <c r="C54" s="44" t="n">
        <v>3</v>
      </c>
      <c r="D54" s="44" t="n">
        <v>0</v>
      </c>
      <c r="E54" s="44" t="n">
        <v>8</v>
      </c>
      <c r="F54" s="44">
        <f>IFERROR(MIN(C54,D54)*E54/C54,0)</f>
        <v/>
      </c>
      <c r="G54" s="44" t="n"/>
    </row>
    <row r="55" ht="14.15" customHeight="1" s="20">
      <c r="A55" s="42" t="n">
        <v>40</v>
      </c>
      <c r="B55" s="43" t="inlineStr">
        <is>
          <t>Trolly</t>
        </is>
      </c>
      <c r="C55" s="44" t="n">
        <v>5</v>
      </c>
      <c r="D55" s="44" t="n">
        <v>0</v>
      </c>
      <c r="E55" s="44" t="n">
        <v>4</v>
      </c>
      <c r="F55" s="44">
        <f>IFERROR(MIN(C55,D55)*E55/C55,0)</f>
        <v/>
      </c>
      <c r="G55" s="44" t="n"/>
    </row>
    <row r="56" ht="14.15" customHeight="1" s="20">
      <c r="A56" s="42" t="n">
        <v>41</v>
      </c>
      <c r="B56" s="43" t="inlineStr">
        <is>
          <t>Dollop weight</t>
        </is>
      </c>
      <c r="C56" s="44" t="n">
        <v>2</v>
      </c>
      <c r="D56" s="44" t="n">
        <v>0</v>
      </c>
      <c r="E56" s="44" t="n">
        <v>4</v>
      </c>
      <c r="F56" s="44">
        <f>IFERROR(MIN(C56,D56)*E56/C56,0)</f>
        <v/>
      </c>
      <c r="G56" s="44" t="n"/>
    </row>
    <row r="57" ht="14.15" customHeight="1" s="20">
      <c r="A57" s="42" t="n">
        <v>42</v>
      </c>
      <c r="B57" s="43" t="inlineStr">
        <is>
          <t>Jute table</t>
        </is>
      </c>
      <c r="C57" s="44" t="n">
        <v>2</v>
      </c>
      <c r="D57" s="44" t="n">
        <v>0</v>
      </c>
      <c r="E57" s="44" t="n">
        <v>4</v>
      </c>
      <c r="F57" s="44">
        <f>IFERROR(MIN(C57,D57)*E57/C57,0)</f>
        <v/>
      </c>
      <c r="G57" s="44" t="n"/>
    </row>
    <row r="58" ht="14.15" customHeight="1" s="20">
      <c r="A58" s="42" t="n">
        <v>43</v>
      </c>
      <c r="B58" s="43" t="inlineStr">
        <is>
          <t>Pile cover</t>
        </is>
      </c>
      <c r="C58" s="44" t="n">
        <v>5</v>
      </c>
      <c r="D58" s="44" t="n">
        <v>0</v>
      </c>
      <c r="E58" s="44" t="n">
        <v>3</v>
      </c>
      <c r="F58" s="44">
        <f>IFERROR(MIN(C58,D58)*E58/C58,0)</f>
        <v/>
      </c>
      <c r="G58" s="44" t="n"/>
    </row>
    <row r="59" ht="14.15" customHeight="1" s="20">
      <c r="A59" s="42" t="n">
        <v>44</v>
      </c>
      <c r="B59" s="43" t="inlineStr">
        <is>
          <t>Reserve tank</t>
        </is>
      </c>
      <c r="C59" s="44" t="n">
        <v>1</v>
      </c>
      <c r="D59" s="44" t="n">
        <v>0</v>
      </c>
      <c r="E59" s="44" t="n">
        <v>4</v>
      </c>
      <c r="F59" s="44">
        <f>IFERROR(MIN(C59,D59)*E59/C59,0)</f>
        <v/>
      </c>
      <c r="G59" s="44" t="n"/>
    </row>
    <row r="60" ht="14.15" customHeight="1" s="20">
      <c r="A60" s="42" t="n">
        <v>45</v>
      </c>
      <c r="B60" s="43" t="inlineStr">
        <is>
          <t>Dunnage</t>
        </is>
      </c>
      <c r="C60" s="44" t="n">
        <v>10</v>
      </c>
      <c r="D60" s="44" t="n">
        <v>0</v>
      </c>
      <c r="E60" s="44" t="n">
        <v>3</v>
      </c>
      <c r="F60" s="44">
        <f>IFERROR(MIN(C60,D60)*E60/C60,0)</f>
        <v/>
      </c>
      <c r="G60" s="44" t="n"/>
    </row>
    <row r="61" ht="14.15" customHeight="1" s="20">
      <c r="A61" s="42" t="n">
        <v>46</v>
      </c>
      <c r="B61" s="43" t="inlineStr">
        <is>
          <t>Digital scale (40 kg)</t>
        </is>
      </c>
      <c r="C61" s="44" t="n">
        <v>1</v>
      </c>
      <c r="D61" s="44" t="n">
        <v>0</v>
      </c>
      <c r="E61" s="44" t="n">
        <v>5</v>
      </c>
      <c r="F61" s="44">
        <f>IFERROR(MIN(C61,D61)*E61/C61,0)</f>
        <v/>
      </c>
      <c r="G61" s="44" t="n"/>
    </row>
    <row r="62" ht="14.15" customHeight="1" s="20">
      <c r="A62" s="42" t="n">
        <v>47</v>
      </c>
      <c r="B62" s="43" t="inlineStr">
        <is>
          <t>Moister meter</t>
        </is>
      </c>
      <c r="C62" s="44" t="n">
        <v>5</v>
      </c>
      <c r="D62" s="44" t="n">
        <v>0</v>
      </c>
      <c r="E62" s="44" t="n">
        <v>6</v>
      </c>
      <c r="F62" s="44">
        <f>IFERROR(MIN(C62,D62)*E62/C62,0)</f>
        <v/>
      </c>
      <c r="G62" s="44" t="n"/>
    </row>
    <row r="63" ht="14.15" customHeight="1" s="20">
      <c r="A63" s="42" t="n">
        <v>48</v>
      </c>
      <c r="B63" s="43" t="inlineStr">
        <is>
          <t>Stop watch (digital)</t>
        </is>
      </c>
      <c r="C63" s="44" t="n">
        <v>25</v>
      </c>
      <c r="D63" s="44" t="n">
        <v>0</v>
      </c>
      <c r="E63" s="44" t="n">
        <v>5</v>
      </c>
      <c r="F63" s="44">
        <f>IFERROR(MIN(C63,D63)*E63/C63,0)</f>
        <v/>
      </c>
      <c r="G63" s="44" t="n"/>
    </row>
    <row r="64" ht="14.15" customHeight="1" s="20">
      <c r="A64" s="42" t="n">
        <v>49</v>
      </c>
      <c r="B64" s="43" t="inlineStr">
        <is>
          <t>First aid kit</t>
        </is>
      </c>
      <c r="C64" s="44" t="n">
        <v>1</v>
      </c>
      <c r="D64" s="44" t="n">
        <v>0</v>
      </c>
      <c r="E64" s="44" t="n">
        <v>4</v>
      </c>
      <c r="F64" s="44">
        <f>IFERROR(MIN(C64,D64)*E64/C64,0)</f>
        <v/>
      </c>
      <c r="G64" s="44" t="n"/>
    </row>
    <row r="65" ht="14.15" customHeight="1" s="20">
      <c r="A65" s="42" t="n">
        <v>50</v>
      </c>
      <c r="B65" s="43" t="inlineStr">
        <is>
          <t>Fire extinguisher (for safety demonstration)</t>
        </is>
      </c>
      <c r="C65" s="44" t="n">
        <v>1</v>
      </c>
      <c r="D65" s="44" t="n">
        <v>0</v>
      </c>
      <c r="E65" s="44" t="n">
        <v>5</v>
      </c>
      <c r="F65" s="44">
        <f>IFERROR(MIN(C65,D65)*E65/C65,0)</f>
        <v/>
      </c>
      <c r="G65" s="44" t="n"/>
    </row>
    <row r="66">
      <c r="A66" s="45" t="inlineStr">
        <is>
          <t>Sum</t>
        </is>
      </c>
      <c r="B66" s="24" t="n"/>
      <c r="C66" s="24" t="n"/>
      <c r="D66" s="25" t="n"/>
      <c r="E66" s="45">
        <f>SUM(E16:E65)</f>
        <v/>
      </c>
      <c r="F66" s="45">
        <f>SUM(F16:F65)</f>
        <v/>
      </c>
      <c r="G66" s="46" t="n"/>
    </row>
    <row r="67">
      <c r="A67" s="45" t="inlineStr">
        <is>
          <t>Score out of 100</t>
        </is>
      </c>
      <c r="B67" s="24" t="n"/>
      <c r="C67" s="24" t="n"/>
      <c r="D67" s="24" t="n"/>
      <c r="E67" s="25" t="n"/>
      <c r="F67" s="45">
        <f>F66/E66*100</f>
        <v/>
      </c>
      <c r="G67" s="46" t="n"/>
    </row>
    <row r="68" ht="9.75" customHeight="1" s="20"/>
    <row r="69">
      <c r="A69" s="45" t="inlineStr">
        <is>
          <t xml:space="preserve">Total achieved points out of 30  </t>
        </is>
      </c>
      <c r="B69" s="24" t="n"/>
      <c r="C69" s="24" t="n"/>
      <c r="D69" s="24" t="n"/>
      <c r="E69" s="25" t="n"/>
      <c r="F69" s="45">
        <f>F67*30/100</f>
        <v/>
      </c>
      <c r="G69" s="45"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2026-08-31T10:08:28Z</dcterms:modified>
  <cp:revision>2</cp:revision>
</cp:coreProperties>
</file>
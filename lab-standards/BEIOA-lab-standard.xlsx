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CAD-CAM Design Prog" sheetId="1" state="visible" r:id="rId1"/>
    <sheet xmlns:r="http://schemas.openxmlformats.org/officeDocument/2006/relationships" name="2-CNC Machine Operation" sheetId="2" state="visible" r:id="rId2"/>
    <sheet xmlns:r="http://schemas.openxmlformats.org/officeDocument/2006/relationships" name="3-Elect Install Maint" sheetId="3" state="visible" r:id="rId3"/>
    <sheet xmlns:r="http://schemas.openxmlformats.org/officeDocument/2006/relationships" name="4-Refrigeration AC" sheetId="4" state="visible" r:id="rId4"/>
    <sheet xmlns:r="http://schemas.openxmlformats.org/officeDocument/2006/relationships" name="5-Machine Shop Practice" sheetId="5" state="visible" r:id="rId5"/>
    <sheet xmlns:r="http://schemas.openxmlformats.org/officeDocument/2006/relationships" name="6-Welding 1G2G3G" sheetId="6" state="visible" r:id="rId6"/>
    <sheet xmlns:r="http://schemas.openxmlformats.org/officeDocument/2006/relationships" name="7-PLC Operation"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CAD-CAM Design and Programming (Mechanical)</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CAD-CAM Design and Programming (Mechanical)</t>
        </is>
      </c>
      <c r="C8" s="4" t="inlineStr">
        <is>
          <t>Computer Lab : 400 sft
CNC Workshop : 700-800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CAD-CAM Design and Programming (Mechanical),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Workstation computer with CAD and CAM software</t>
        </is>
      </c>
      <c r="C16" s="9" t="n">
        <v>26</v>
      </c>
      <c r="D16" s="9" t="n">
        <v>0</v>
      </c>
      <c r="E16" s="9" t="n">
        <v>9</v>
      </c>
      <c r="F16" s="9">
        <f>IFERROR(MIN(C16,D16)*E16/C16,0)</f>
        <v/>
      </c>
      <c r="G16" s="9" t="n"/>
    </row>
    <row r="17" ht="14.15" customHeight="1">
      <c r="A17" s="7" t="n">
        <v>2</v>
      </c>
      <c r="B17" s="8" t="inlineStr">
        <is>
          <t>CNC Lathe Machine</t>
        </is>
      </c>
      <c r="C17" s="9" t="n">
        <v>1</v>
      </c>
      <c r="D17" s="9" t="n">
        <v>0</v>
      </c>
      <c r="E17" s="9" t="n">
        <v>10</v>
      </c>
      <c r="F17" s="9">
        <f>IFERROR(MIN(C17,D17)*E17/C17,0)</f>
        <v/>
      </c>
      <c r="G17" s="9" t="n"/>
    </row>
    <row r="18" ht="14.15" customHeight="1">
      <c r="A18" s="7" t="n">
        <v>3</v>
      </c>
      <c r="B18" s="8" t="inlineStr">
        <is>
          <t>CNC Milling Machine</t>
        </is>
      </c>
      <c r="C18" s="9" t="n">
        <v>1</v>
      </c>
      <c r="D18" s="9" t="n">
        <v>0</v>
      </c>
      <c r="E18" s="9" t="n">
        <v>10</v>
      </c>
      <c r="F18" s="9">
        <f>IFERROR(MIN(C18,D18)*E18/C18,0)</f>
        <v/>
      </c>
      <c r="G18" s="9" t="n"/>
    </row>
    <row r="19" ht="14.15" customHeight="1">
      <c r="A19" s="7" t="n">
        <v>4</v>
      </c>
      <c r="B19" s="8" t="inlineStr">
        <is>
          <t>Bench Vice</t>
        </is>
      </c>
      <c r="C19" s="9" t="n">
        <v>5</v>
      </c>
      <c r="D19" s="9" t="n">
        <v>0</v>
      </c>
      <c r="E19" s="9" t="n">
        <v>5</v>
      </c>
      <c r="F19" s="9">
        <f>IFERROR(MIN(C19,D19)*E19/C19,0)</f>
        <v/>
      </c>
      <c r="G19" s="9" t="n"/>
    </row>
    <row r="20" ht="14.15" customHeight="1">
      <c r="A20" s="7" t="n">
        <v>5</v>
      </c>
      <c r="B20" s="8" t="inlineStr">
        <is>
          <t>Working Table</t>
        </is>
      </c>
      <c r="C20" s="9" t="n">
        <v>2</v>
      </c>
      <c r="D20" s="9" t="n">
        <v>0</v>
      </c>
      <c r="E20" s="9" t="n">
        <v>4</v>
      </c>
      <c r="F20" s="9">
        <f>IFERROR(MIN(C20,D20)*E20/C20,0)</f>
        <v/>
      </c>
      <c r="G20" s="9" t="n"/>
    </row>
    <row r="21" ht="14.15" customHeight="1">
      <c r="A21" s="7" t="n">
        <v>6</v>
      </c>
      <c r="B21" s="8" t="inlineStr">
        <is>
          <t>Cutting tools set for lathe machine</t>
        </is>
      </c>
      <c r="C21" s="9" t="n">
        <v>2</v>
      </c>
      <c r="D21" s="9" t="n">
        <v>0</v>
      </c>
      <c r="E21" s="9" t="n">
        <v>7</v>
      </c>
      <c r="F21" s="9">
        <f>IFERROR(MIN(C21,D21)*E21/C21,0)</f>
        <v/>
      </c>
      <c r="G21" s="9" t="n"/>
    </row>
    <row r="22" ht="14.15" customHeight="1">
      <c r="A22" s="7" t="n">
        <v>7</v>
      </c>
      <c r="B22" s="8" t="inlineStr">
        <is>
          <t>Cutting tools set for milling machine</t>
        </is>
      </c>
      <c r="C22" s="9" t="n">
        <v>2</v>
      </c>
      <c r="D22" s="9" t="n">
        <v>0</v>
      </c>
      <c r="E22" s="9" t="n">
        <v>7</v>
      </c>
      <c r="F22" s="9">
        <f>IFERROR(MIN(C22,D22)*E22/C22,0)</f>
        <v/>
      </c>
      <c r="G22" s="9" t="n"/>
    </row>
    <row r="23" ht="14.15" customHeight="1">
      <c r="A23" s="7" t="n">
        <v>8</v>
      </c>
      <c r="B23" s="8" t="inlineStr">
        <is>
          <t>Vernier caliper</t>
        </is>
      </c>
      <c r="C23" s="9" t="n">
        <v>5</v>
      </c>
      <c r="D23" s="9" t="n">
        <v>0</v>
      </c>
      <c r="E23" s="9" t="n">
        <v>5</v>
      </c>
      <c r="F23" s="9">
        <f>IFERROR(MIN(C23,D23)*E23/C23,0)</f>
        <v/>
      </c>
      <c r="G23" s="9" t="n"/>
    </row>
    <row r="24" ht="14.15" customHeight="1">
      <c r="A24" s="7" t="n">
        <v>9</v>
      </c>
      <c r="B24" s="8" t="inlineStr">
        <is>
          <t>Micrometer</t>
        </is>
      </c>
      <c r="C24" s="9" t="n">
        <v>5</v>
      </c>
      <c r="D24" s="9" t="n">
        <v>0</v>
      </c>
      <c r="E24" s="9" t="n">
        <v>5</v>
      </c>
      <c r="F24" s="9">
        <f>IFERROR(MIN(C24,D24)*E24/C24,0)</f>
        <v/>
      </c>
      <c r="G24" s="9" t="n"/>
    </row>
    <row r="25">
      <c r="A25" s="10" t="inlineStr">
        <is>
          <t>Sum</t>
        </is>
      </c>
      <c r="B25" s="11" t="n"/>
      <c r="C25" s="11" t="n"/>
      <c r="D25" s="12" t="n"/>
      <c r="E25" s="10">
        <f>SUM(E16:E24)</f>
        <v/>
      </c>
      <c r="F25" s="10">
        <f>SUM(F16:F24)</f>
        <v/>
      </c>
      <c r="G25" s="13" t="n"/>
    </row>
    <row r="26">
      <c r="A26" s="10" t="inlineStr">
        <is>
          <t>Score out of 100</t>
        </is>
      </c>
      <c r="B26" s="11" t="n"/>
      <c r="C26" s="11" t="n"/>
      <c r="D26" s="11" t="n"/>
      <c r="E26" s="12" t="n"/>
      <c r="F26" s="10">
        <f>F25/E25*100</f>
        <v/>
      </c>
      <c r="G26" s="13" t="n"/>
    </row>
    <row r="27" ht="9.75" customHeight="1"/>
    <row r="28">
      <c r="A28" s="10" t="inlineStr">
        <is>
          <t xml:space="preserve">Total achieved points out of 30  </t>
        </is>
      </c>
      <c r="B28" s="11" t="n"/>
      <c r="C28" s="11" t="n"/>
      <c r="D28" s="11" t="n"/>
      <c r="E28" s="12" t="n"/>
      <c r="F28" s="10">
        <f>F26*30/100</f>
        <v/>
      </c>
      <c r="G28" s="10"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CNC Machine Operation</t>
        </is>
      </c>
    </row>
    <row r="4" ht="26.85" customHeight="1">
      <c r="A4" s="2" t="inlineStr">
        <is>
          <t>Number of Trainees:</t>
        </is>
      </c>
      <c r="B4" s="2" t="n">
        <v>20</v>
      </c>
    </row>
    <row r="6">
      <c r="A6" s="3" t="inlineStr">
        <is>
          <t>Course-wise Training Space (Theoretical Classroom, Workshop/ Lab/ Classroom cum Workshop)</t>
        </is>
      </c>
    </row>
    <row r="7">
      <c r="B7" s="2" t="inlineStr">
        <is>
          <t>Course Name</t>
        </is>
      </c>
      <c r="C7" s="2" t="inlineStr">
        <is>
          <t>SICIP required space for 20 trainees</t>
        </is>
      </c>
      <c r="D7" s="11" t="n"/>
      <c r="E7" s="11" t="n"/>
      <c r="F7" s="11" t="n"/>
      <c r="G7" s="12" t="n"/>
    </row>
    <row r="8" ht="52.2" customHeight="1">
      <c r="B8" s="2" t="inlineStr">
        <is>
          <t>CNC Machine Operation</t>
        </is>
      </c>
      <c r="C8" s="4" t="inlineStr">
        <is>
          <t>Classroom : 350 sft
Workshop : 800-1000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CNC Machine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20 trainees. Also, they will arrange adequate seating arrangement and classroom setup for the 20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 with relevant software</t>
        </is>
      </c>
      <c r="C16" s="9" t="n">
        <v>11</v>
      </c>
      <c r="D16" s="9" t="n">
        <v>0</v>
      </c>
      <c r="E16" s="9" t="n">
        <v>8</v>
      </c>
      <c r="F16" s="9">
        <f>IFERROR(MIN(C16,D16)*E16/C16,0)</f>
        <v/>
      </c>
      <c r="G16" s="9" t="n"/>
    </row>
    <row r="17" ht="14.15" customHeight="1">
      <c r="A17" s="7" t="n">
        <v>2</v>
      </c>
      <c r="B17" s="8" t="inlineStr">
        <is>
          <t>CNC Lathe Machine</t>
        </is>
      </c>
      <c r="C17" s="9" t="n">
        <v>1</v>
      </c>
      <c r="D17" s="9" t="n">
        <v>0</v>
      </c>
      <c r="E17" s="9" t="n">
        <v>10</v>
      </c>
      <c r="F17" s="9">
        <f>IFERROR(MIN(C17,D17)*E17/C17,0)</f>
        <v/>
      </c>
      <c r="G17" s="9" t="n"/>
    </row>
    <row r="18" ht="14.15" customHeight="1">
      <c r="A18" s="7" t="n">
        <v>3</v>
      </c>
      <c r="B18" s="8" t="inlineStr">
        <is>
          <t>CNC Milling Machine</t>
        </is>
      </c>
      <c r="C18" s="9" t="n">
        <v>1</v>
      </c>
      <c r="D18" s="9" t="n">
        <v>0</v>
      </c>
      <c r="E18" s="9" t="n">
        <v>10</v>
      </c>
      <c r="F18" s="9">
        <f>IFERROR(MIN(C18,D18)*E18/C18,0)</f>
        <v/>
      </c>
      <c r="G18" s="9" t="n"/>
    </row>
    <row r="19" ht="14.15" customHeight="1">
      <c r="A19" s="7" t="n">
        <v>4</v>
      </c>
      <c r="B19" s="8" t="inlineStr">
        <is>
          <t>CNC Wire Cut Machine</t>
        </is>
      </c>
      <c r="C19" s="9" t="n">
        <v>1</v>
      </c>
      <c r="D19" s="9" t="n">
        <v>0</v>
      </c>
      <c r="E19" s="9" t="n">
        <v>9</v>
      </c>
      <c r="F19" s="9">
        <f>IFERROR(MIN(C19,D19)*E19/C19,0)</f>
        <v/>
      </c>
      <c r="G19" s="9" t="n"/>
    </row>
    <row r="20" ht="14.15" customHeight="1">
      <c r="A20" s="7" t="n">
        <v>5</v>
      </c>
      <c r="B20" s="8" t="inlineStr">
        <is>
          <t>Tool Grinding Machine</t>
        </is>
      </c>
      <c r="C20" s="9" t="n">
        <v>1</v>
      </c>
      <c r="D20" s="9" t="n">
        <v>0</v>
      </c>
      <c r="E20" s="9" t="n">
        <v>7</v>
      </c>
      <c r="F20" s="9">
        <f>IFERROR(MIN(C20,D20)*E20/C20,0)</f>
        <v/>
      </c>
      <c r="G20" s="9" t="n"/>
    </row>
    <row r="21" ht="14.15" customHeight="1">
      <c r="A21" s="7" t="n">
        <v>6</v>
      </c>
      <c r="B21" s="8" t="inlineStr">
        <is>
          <t>Radial Drill Machine</t>
        </is>
      </c>
      <c r="C21" s="9" t="n">
        <v>1</v>
      </c>
      <c r="D21" s="9" t="n">
        <v>0</v>
      </c>
      <c r="E21" s="9" t="n">
        <v>7</v>
      </c>
      <c r="F21" s="9">
        <f>IFERROR(MIN(C21,D21)*E21/C21,0)</f>
        <v/>
      </c>
      <c r="G21" s="9" t="n"/>
    </row>
    <row r="22" ht="14.15" customHeight="1">
      <c r="A22" s="7" t="n">
        <v>7</v>
      </c>
      <c r="B22" s="8" t="inlineStr">
        <is>
          <t>Electric Hand Drill Machine</t>
        </is>
      </c>
      <c r="C22" s="9" t="n">
        <v>2</v>
      </c>
      <c r="D22" s="9" t="n">
        <v>0</v>
      </c>
      <c r="E22" s="9" t="n">
        <v>5</v>
      </c>
      <c r="F22" s="9">
        <f>IFERROR(MIN(C22,D22)*E22/C22,0)</f>
        <v/>
      </c>
      <c r="G22" s="9" t="n"/>
    </row>
    <row r="23" ht="14.15" customHeight="1">
      <c r="A23" s="7" t="n">
        <v>8</v>
      </c>
      <c r="B23" s="8" t="inlineStr">
        <is>
          <t>Bench Vice</t>
        </is>
      </c>
      <c r="C23" s="9" t="n">
        <v>5</v>
      </c>
      <c r="D23" s="9" t="n">
        <v>0</v>
      </c>
      <c r="E23" s="9" t="n">
        <v>5</v>
      </c>
      <c r="F23" s="9">
        <f>IFERROR(MIN(C23,D23)*E23/C23,0)</f>
        <v/>
      </c>
      <c r="G23" s="9" t="n"/>
    </row>
    <row r="24" ht="14.15" customHeight="1">
      <c r="A24" s="7" t="n">
        <v>9</v>
      </c>
      <c r="B24" s="8" t="inlineStr">
        <is>
          <t>Working Table</t>
        </is>
      </c>
      <c r="C24" s="9" t="n">
        <v>2</v>
      </c>
      <c r="D24" s="9" t="n">
        <v>0</v>
      </c>
      <c r="E24" s="9" t="n">
        <v>5</v>
      </c>
      <c r="F24" s="9">
        <f>IFERROR(MIN(C24,D24)*E24/C24,0)</f>
        <v/>
      </c>
      <c r="G24" s="9" t="n"/>
    </row>
    <row r="25" ht="14.15" customHeight="1">
      <c r="A25" s="7" t="n">
        <v>10</v>
      </c>
      <c r="B25" s="8" t="inlineStr">
        <is>
          <t>Pedestal/Bench Grinding Machine</t>
        </is>
      </c>
      <c r="C25" s="9" t="n">
        <v>2</v>
      </c>
      <c r="D25" s="9" t="n">
        <v>0</v>
      </c>
      <c r="E25" s="9" t="n">
        <v>6</v>
      </c>
      <c r="F25" s="9">
        <f>IFERROR(MIN(C25,D25)*E25/C25,0)</f>
        <v/>
      </c>
      <c r="G25" s="9" t="n"/>
    </row>
    <row r="26">
      <c r="A26" s="10" t="inlineStr">
        <is>
          <t>Sum</t>
        </is>
      </c>
      <c r="B26" s="11" t="n"/>
      <c r="C26" s="11" t="n"/>
      <c r="D26" s="12" t="n"/>
      <c r="E26" s="10">
        <f>SUM(E16:E25)</f>
        <v/>
      </c>
      <c r="F26" s="10">
        <f>SUM(F16:F25)</f>
        <v/>
      </c>
      <c r="G26" s="13" t="n"/>
    </row>
    <row r="27">
      <c r="A27" s="10" t="inlineStr">
        <is>
          <t>Score out of 100</t>
        </is>
      </c>
      <c r="B27" s="11" t="n"/>
      <c r="C27" s="11" t="n"/>
      <c r="D27" s="11" t="n"/>
      <c r="E27" s="12" t="n"/>
      <c r="F27" s="10">
        <f>F26/E26*100</f>
        <v/>
      </c>
      <c r="G27" s="13" t="n"/>
    </row>
    <row r="28" ht="9.75" customHeight="1"/>
    <row r="29">
      <c r="A29" s="10" t="inlineStr">
        <is>
          <t xml:space="preserve">Total achieved points out of 30  </t>
        </is>
      </c>
      <c r="B29" s="11" t="n"/>
      <c r="C29" s="11" t="n"/>
      <c r="D29" s="11" t="n"/>
      <c r="E29" s="12" t="n"/>
      <c r="F29" s="10">
        <f>F27*30/100</f>
        <v/>
      </c>
      <c r="G29" s="10" t="inlineStr">
        <is>
          <t>Points</t>
        </is>
      </c>
    </row>
  </sheetData>
  <mergeCells count="8">
    <mergeCell ref="A13:G13"/>
    <mergeCell ref="C7:G7"/>
    <mergeCell ref="A29:E29"/>
    <mergeCell ref="A1:G1"/>
    <mergeCell ref="A26:D26"/>
    <mergeCell ref="C8:G8"/>
    <mergeCell ref="A27:E27"/>
    <mergeCell ref="A28:G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(Industry)</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Installation &amp; Maintenance (Industry)</t>
        </is>
      </c>
      <c r="C8" s="4" t="inlineStr">
        <is>
          <t>Classroom – 350 sft
Workshop/ lab – 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(Industry),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 with internet facility</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Wiring Board</t>
        </is>
      </c>
      <c r="C18" s="9" t="n">
        <v>20</v>
      </c>
      <c r="D18" s="9" t="n">
        <v>0</v>
      </c>
      <c r="E18" s="9" t="n">
        <v>8</v>
      </c>
      <c r="F18" s="9">
        <f>IFERROR(MIN(C18,D18)*E18/C18,0)</f>
        <v/>
      </c>
      <c r="G18" s="9" t="n"/>
    </row>
    <row r="19" ht="14.15" customHeight="1">
      <c r="A19" s="7" t="n">
        <v>4</v>
      </c>
      <c r="B19" s="8" t="inlineStr">
        <is>
          <t>Motor Coil Rewinding machine</t>
        </is>
      </c>
      <c r="C19" s="9" t="n">
        <v>5</v>
      </c>
      <c r="D19" s="9" t="n">
        <v>0</v>
      </c>
      <c r="E19" s="9" t="n">
        <v>8</v>
      </c>
      <c r="F19" s="9">
        <f>IFERROR(MIN(C19,D19)*E19/C19,0)</f>
        <v/>
      </c>
      <c r="G19" s="9" t="n"/>
    </row>
    <row r="20" ht="14.15" customHeight="1">
      <c r="A20" s="7" t="n">
        <v>5</v>
      </c>
      <c r="B20" s="8" t="inlineStr">
        <is>
          <t>Main Distribution Board with busbar, CB and other accessories (Training model)</t>
        </is>
      </c>
      <c r="C20" s="9" t="n">
        <v>5</v>
      </c>
      <c r="D20" s="9" t="n">
        <v>0</v>
      </c>
      <c r="E20" s="9" t="n">
        <v>8</v>
      </c>
      <c r="F20" s="9">
        <f>IFERROR(MIN(C20,D20)*E20/C20,0)</f>
        <v/>
      </c>
      <c r="G20" s="9" t="n"/>
    </row>
    <row r="21" ht="14.15" customHeight="1">
      <c r="A21" s="7" t="n">
        <v>6</v>
      </c>
      <c r="B21" s="8" t="inlineStr">
        <is>
          <t>Sub Distribution Board with busbar, CB and other accessories (Training model)</t>
        </is>
      </c>
      <c r="C21" s="9" t="n">
        <v>5</v>
      </c>
      <c r="D21" s="9" t="n">
        <v>0</v>
      </c>
      <c r="E21" s="9" t="n">
        <v>8</v>
      </c>
      <c r="F21" s="9">
        <f>IFERROR(MIN(C21,D21)*E21/C21,0)</f>
        <v/>
      </c>
      <c r="G21" s="9" t="n"/>
    </row>
    <row r="22" ht="14.15" customHeight="1">
      <c r="A22" s="7" t="n">
        <v>7</v>
      </c>
      <c r="B22" s="8" t="inlineStr">
        <is>
          <t>DOL Starter panel</t>
        </is>
      </c>
      <c r="C22" s="9" t="n">
        <v>4</v>
      </c>
      <c r="D22" s="9" t="n">
        <v>0</v>
      </c>
      <c r="E22" s="9" t="n">
        <v>7</v>
      </c>
      <c r="F22" s="9">
        <f>IFERROR(MIN(C22,D22)*E22/C22,0)</f>
        <v/>
      </c>
      <c r="G22" s="9" t="n"/>
    </row>
    <row r="23" ht="14.15" customHeight="1">
      <c r="A23" s="7" t="n">
        <v>8</v>
      </c>
      <c r="B23" s="8" t="inlineStr">
        <is>
          <t>Star Delta Starter panel</t>
        </is>
      </c>
      <c r="C23" s="9" t="n">
        <v>2</v>
      </c>
      <c r="D23" s="9" t="n">
        <v>0</v>
      </c>
      <c r="E23" s="9" t="n">
        <v>7</v>
      </c>
      <c r="F23" s="9">
        <f>IFERROR(MIN(C23,D23)*E23/C23,0)</f>
        <v/>
      </c>
      <c r="G23" s="9" t="n"/>
    </row>
    <row r="24" ht="14.15" customHeight="1">
      <c r="A24" s="7" t="n">
        <v>9</v>
      </c>
      <c r="B24" s="8" t="inlineStr">
        <is>
          <t>Reverse Forward Starter panel</t>
        </is>
      </c>
      <c r="C24" s="9" t="n">
        <v>2</v>
      </c>
      <c r="D24" s="9" t="n">
        <v>0</v>
      </c>
      <c r="E24" s="9" t="n">
        <v>7</v>
      </c>
      <c r="F24" s="9">
        <f>IFERROR(MIN(C24,D24)*E24/C24,0)</f>
        <v/>
      </c>
      <c r="G24" s="9" t="n"/>
    </row>
    <row r="25" ht="14.15" customHeight="1">
      <c r="A25" s="7" t="n">
        <v>10</v>
      </c>
      <c r="B25" s="8" t="inlineStr">
        <is>
          <t>Magnetic contactor (coil voltage 220V and 400V)</t>
        </is>
      </c>
      <c r="C25" s="9" t="n">
        <v>20</v>
      </c>
      <c r="D25" s="9" t="n">
        <v>0</v>
      </c>
      <c r="E25" s="9" t="n">
        <v>6</v>
      </c>
      <c r="F25" s="9">
        <f>IFERROR(MIN(C25,D25)*E25/C25,0)</f>
        <v/>
      </c>
      <c r="G25" s="9" t="n"/>
    </row>
    <row r="26" ht="14.15" customHeight="1">
      <c r="A26" s="7" t="n">
        <v>11</v>
      </c>
      <c r="B26" s="8" t="inlineStr">
        <is>
          <t>Relay</t>
        </is>
      </c>
      <c r="C26" s="9" t="n">
        <v>10</v>
      </c>
      <c r="D26" s="9" t="n">
        <v>0</v>
      </c>
      <c r="E26" s="9" t="n">
        <v>5</v>
      </c>
      <c r="F26" s="9">
        <f>IFERROR(MIN(C26,D26)*E26/C26,0)</f>
        <v/>
      </c>
      <c r="G26" s="9" t="n"/>
    </row>
    <row r="27" ht="14.15" customHeight="1">
      <c r="A27" s="7" t="n">
        <v>12</v>
      </c>
      <c r="B27" s="8" t="inlineStr">
        <is>
          <t>Timer</t>
        </is>
      </c>
      <c r="C27" s="9" t="n">
        <v>10</v>
      </c>
      <c r="D27" s="9" t="n">
        <v>0</v>
      </c>
      <c r="E27" s="9" t="n">
        <v>4</v>
      </c>
      <c r="F27" s="9">
        <f>IFERROR(MIN(C27,D27)*E27/C27,0)</f>
        <v/>
      </c>
      <c r="G27" s="9" t="n"/>
    </row>
    <row r="28" ht="14.15" customHeight="1">
      <c r="A28" s="7" t="n">
        <v>13</v>
      </c>
      <c r="B28" s="8" t="inlineStr">
        <is>
          <t>Pilot lamp &amp; Push switch</t>
        </is>
      </c>
      <c r="C28" s="9" t="n">
        <v>20</v>
      </c>
      <c r="D28" s="9" t="n">
        <v>0</v>
      </c>
      <c r="E28" s="9" t="n">
        <v>3</v>
      </c>
      <c r="F28" s="9">
        <f>IFERROR(MIN(C28,D28)*E28/C28,0)</f>
        <v/>
      </c>
      <c r="G28" s="9" t="n"/>
    </row>
    <row r="29" ht="14.15" customHeight="1">
      <c r="A29" s="7" t="n">
        <v>14</v>
      </c>
      <c r="B29" s="8" t="inlineStr">
        <is>
          <t>Push switch</t>
        </is>
      </c>
      <c r="C29" s="9" t="n">
        <v>30</v>
      </c>
      <c r="D29" s="9" t="n">
        <v>0</v>
      </c>
      <c r="E29" s="9" t="n">
        <v>3</v>
      </c>
      <c r="F29" s="9">
        <f>IFERROR(MIN(C29,D29)*E29/C29,0)</f>
        <v/>
      </c>
      <c r="G29" s="9" t="n"/>
    </row>
    <row r="30" ht="14.15" customHeight="1">
      <c r="A30" s="7" t="n">
        <v>15</v>
      </c>
      <c r="B30" s="8" t="inlineStr">
        <is>
          <t>Generator (Minimum 2 KW)</t>
        </is>
      </c>
      <c r="C30" s="9" t="n">
        <v>1</v>
      </c>
      <c r="D30" s="9" t="n">
        <v>0</v>
      </c>
      <c r="E30" s="9" t="n">
        <v>8</v>
      </c>
      <c r="F30" s="9">
        <f>IFERROR(MIN(C30,D30)*E30/C30,0)</f>
        <v/>
      </c>
      <c r="G30" s="9" t="n"/>
    </row>
    <row r="31" ht="14.15" customHeight="1">
      <c r="A31" s="7" t="n">
        <v>16</v>
      </c>
      <c r="B31" s="8" t="inlineStr">
        <is>
          <t>Solar power system set [Solar panel (minimum 40W), battery, charge controller, inverter and load]</t>
        </is>
      </c>
      <c r="C31" s="9" t="n">
        <v>2</v>
      </c>
      <c r="D31" s="9" t="n">
        <v>0</v>
      </c>
      <c r="E31" s="9" t="n">
        <v>8</v>
      </c>
      <c r="F31" s="9">
        <f>IFERROR(MIN(C31,D31)*E31/C31,0)</f>
        <v/>
      </c>
      <c r="G31" s="9" t="n"/>
    </row>
    <row r="32" ht="14.15" customHeight="1">
      <c r="A32" s="7" t="n">
        <v>17</v>
      </c>
      <c r="B32" s="8" t="inlineStr">
        <is>
          <t>Electric drill machine</t>
        </is>
      </c>
      <c r="C32" s="9" t="n">
        <v>5</v>
      </c>
      <c r="D32" s="9" t="n">
        <v>0</v>
      </c>
      <c r="E32" s="9" t="n">
        <v>5</v>
      </c>
      <c r="F32" s="9">
        <f>IFERROR(MIN(C32,D32)*E32/C32,0)</f>
        <v/>
      </c>
      <c r="G32" s="9" t="n"/>
    </row>
    <row r="33" ht="14.15" customHeight="1">
      <c r="A33" s="7" t="n">
        <v>18</v>
      </c>
      <c r="B33" s="8" t="inlineStr">
        <is>
          <t>Electric grinding machine</t>
        </is>
      </c>
      <c r="C33" s="9" t="n">
        <v>2</v>
      </c>
      <c r="D33" s="9" t="n">
        <v>0</v>
      </c>
      <c r="E33" s="9" t="n">
        <v>5</v>
      </c>
      <c r="F33" s="9">
        <f>IFERROR(MIN(C33,D33)*E33/C33,0)</f>
        <v/>
      </c>
      <c r="G33" s="9" t="n"/>
    </row>
    <row r="34" ht="14.15" customHeight="1">
      <c r="A34" s="7" t="n">
        <v>19</v>
      </c>
      <c r="B34" s="8" t="inlineStr">
        <is>
          <t>Soldering Stations</t>
        </is>
      </c>
      <c r="C34" s="9" t="n">
        <v>5</v>
      </c>
      <c r="D34" s="9" t="n">
        <v>0</v>
      </c>
      <c r="E34" s="9" t="n">
        <v>4</v>
      </c>
      <c r="F34" s="9">
        <f>IFERROR(MIN(C34,D34)*E34/C34,0)</f>
        <v/>
      </c>
      <c r="G34" s="9" t="n"/>
    </row>
    <row r="35" ht="14.15" customHeight="1">
      <c r="A35" s="7" t="n">
        <v>20</v>
      </c>
      <c r="B35" s="8" t="inlineStr">
        <is>
          <t>Energy Meter (1 Phase)</t>
        </is>
      </c>
      <c r="C35" s="9" t="n">
        <v>10</v>
      </c>
      <c r="D35" s="9" t="n">
        <v>0</v>
      </c>
      <c r="E35" s="9" t="n">
        <v>6</v>
      </c>
      <c r="F35" s="9">
        <f>IFERROR(MIN(C35,D35)*E35/C35,0)</f>
        <v/>
      </c>
      <c r="G35" s="9" t="n"/>
    </row>
    <row r="36" ht="14.15" customHeight="1">
      <c r="A36" s="7" t="n">
        <v>21</v>
      </c>
      <c r="B36" s="8" t="inlineStr">
        <is>
          <t>Energy Meter (3 Phase)</t>
        </is>
      </c>
      <c r="C36" s="9" t="n">
        <v>5</v>
      </c>
      <c r="D36" s="9" t="n">
        <v>0</v>
      </c>
      <c r="E36" s="9" t="n">
        <v>6</v>
      </c>
      <c r="F36" s="9">
        <f>IFERROR(MIN(C36,D36)*E36/C36,0)</f>
        <v/>
      </c>
      <c r="G36" s="9" t="n"/>
    </row>
    <row r="37" ht="14.15" customHeight="1">
      <c r="A37" s="7" t="n">
        <v>22</v>
      </c>
      <c r="B37" s="8" t="inlineStr">
        <is>
          <t>Multi meter/AVO meter</t>
        </is>
      </c>
      <c r="C37" s="9" t="n">
        <v>10</v>
      </c>
      <c r="D37" s="9" t="n">
        <v>0</v>
      </c>
      <c r="E37" s="9" t="n">
        <v>6</v>
      </c>
      <c r="F37" s="9">
        <f>IFERROR(MIN(C37,D37)*E37/C37,0)</f>
        <v/>
      </c>
      <c r="G37" s="9" t="n"/>
    </row>
    <row r="38" ht="14.15" customHeight="1">
      <c r="A38" s="7" t="n">
        <v>23</v>
      </c>
      <c r="B38" s="8" t="inlineStr">
        <is>
          <t>Earth tester</t>
        </is>
      </c>
      <c r="C38" s="9" t="n">
        <v>2</v>
      </c>
      <c r="D38" s="9" t="n">
        <v>0</v>
      </c>
      <c r="E38" s="9" t="n">
        <v>6</v>
      </c>
      <c r="F38" s="9">
        <f>IFERROR(MIN(C38,D38)*E38/C38,0)</f>
        <v/>
      </c>
      <c r="G38" s="9" t="n"/>
    </row>
    <row r="39" ht="14.15" customHeight="1">
      <c r="A39" s="7" t="n">
        <v>24</v>
      </c>
      <c r="B39" s="8" t="inlineStr">
        <is>
          <t>Digital weight machine</t>
        </is>
      </c>
      <c r="C39" s="9" t="n">
        <v>1</v>
      </c>
      <c r="D39" s="9" t="n">
        <v>0</v>
      </c>
      <c r="E39" s="9" t="n">
        <v>3</v>
      </c>
      <c r="F39" s="9">
        <f>IFERROR(MIN(C39,D39)*E39/C39,0)</f>
        <v/>
      </c>
      <c r="G39" s="9" t="n"/>
    </row>
    <row r="40" ht="14.15" customHeight="1">
      <c r="A40" s="7" t="n">
        <v>25</v>
      </c>
      <c r="B40" s="8" t="inlineStr">
        <is>
          <t>Insulation tester</t>
        </is>
      </c>
      <c r="C40" s="9" t="n">
        <v>2</v>
      </c>
      <c r="D40" s="9" t="n">
        <v>0</v>
      </c>
      <c r="E40" s="9" t="n">
        <v>6</v>
      </c>
      <c r="F40" s="9">
        <f>IFERROR(MIN(C40,D40)*E40/C40,0)</f>
        <v/>
      </c>
      <c r="G40" s="9" t="n"/>
    </row>
    <row r="41" ht="14.15" customHeight="1">
      <c r="A41" s="7" t="n">
        <v>26</v>
      </c>
      <c r="B41" s="8" t="inlineStr">
        <is>
          <t>Tachometer</t>
        </is>
      </c>
      <c r="C41" s="9" t="n">
        <v>2</v>
      </c>
      <c r="D41" s="9" t="n">
        <v>0</v>
      </c>
      <c r="E41" s="9" t="n">
        <v>4</v>
      </c>
      <c r="F41" s="9">
        <f>IFERROR(MIN(C41,D41)*E41/C41,0)</f>
        <v/>
      </c>
      <c r="G41" s="9" t="n"/>
    </row>
    <row r="42" ht="14.15" customHeight="1">
      <c r="A42" s="7" t="n">
        <v>27</v>
      </c>
      <c r="B42" s="8" t="inlineStr">
        <is>
          <t>Clamp Meter</t>
        </is>
      </c>
      <c r="C42" s="9" t="n">
        <v>2</v>
      </c>
      <c r="D42" s="9" t="n">
        <v>0</v>
      </c>
      <c r="E42" s="9" t="n">
        <v>5</v>
      </c>
      <c r="F42" s="9">
        <f>IFERROR(MIN(C42,D42)*E42/C42,0)</f>
        <v/>
      </c>
      <c r="G42" s="9" t="n"/>
    </row>
    <row r="43" ht="14.15" customHeight="1">
      <c r="A43" s="7" t="n">
        <v>28</v>
      </c>
      <c r="B43" s="8" t="inlineStr">
        <is>
          <t>Phase sequence meter</t>
        </is>
      </c>
      <c r="C43" s="9" t="n">
        <v>1</v>
      </c>
      <c r="D43" s="9" t="n">
        <v>0</v>
      </c>
      <c r="E43" s="9" t="n">
        <v>5</v>
      </c>
      <c r="F43" s="9">
        <f>IFERROR(MIN(C43,D43)*E43/C43,0)</f>
        <v/>
      </c>
      <c r="G43" s="9" t="n"/>
    </row>
    <row r="44" ht="14.15" customHeight="1">
      <c r="A44" s="7" t="n">
        <v>29</v>
      </c>
      <c r="B44" s="8" t="inlineStr">
        <is>
          <t>Single phase induction motor</t>
        </is>
      </c>
      <c r="C44" s="9" t="n">
        <v>4</v>
      </c>
      <c r="D44" s="9" t="n">
        <v>0</v>
      </c>
      <c r="E44" s="9" t="n">
        <v>7</v>
      </c>
      <c r="F44" s="9">
        <f>IFERROR(MIN(C44,D44)*E44/C44,0)</f>
        <v/>
      </c>
      <c r="G44" s="9" t="n"/>
    </row>
    <row r="45" ht="14.15" customHeight="1">
      <c r="A45" s="7" t="n">
        <v>30</v>
      </c>
      <c r="B45" s="8" t="inlineStr">
        <is>
          <t>Three phase induction motor (minimum 3hp)</t>
        </is>
      </c>
      <c r="C45" s="9" t="n">
        <v>4</v>
      </c>
      <c r="D45" s="9" t="n">
        <v>0</v>
      </c>
      <c r="E45" s="9" t="n">
        <v>7</v>
      </c>
      <c r="F45" s="9">
        <f>IFERROR(MIN(C45,D45)*E45/C45,0)</f>
        <v/>
      </c>
      <c r="G45" s="9" t="n"/>
    </row>
    <row r="46" ht="14.15" customHeight="1">
      <c r="A46" s="7" t="n">
        <v>31</v>
      </c>
      <c r="B46" s="8" t="inlineStr">
        <is>
          <t>Ceiling fan</t>
        </is>
      </c>
      <c r="C46" s="9" t="n">
        <v>10</v>
      </c>
      <c r="D46" s="9" t="n">
        <v>0</v>
      </c>
      <c r="E46" s="9" t="n">
        <v>4</v>
      </c>
      <c r="F46" s="9">
        <f>IFERROR(MIN(C46,D46)*E46/C46,0)</f>
        <v/>
      </c>
      <c r="G46" s="9" t="n"/>
    </row>
    <row r="47" ht="14.15" customHeight="1">
      <c r="A47" s="7" t="n">
        <v>32</v>
      </c>
      <c r="B47" s="8" t="inlineStr">
        <is>
          <t>Table fan</t>
        </is>
      </c>
      <c r="C47" s="9" t="n">
        <v>4</v>
      </c>
      <c r="D47" s="9" t="n">
        <v>0</v>
      </c>
      <c r="E47" s="9" t="n">
        <v>3</v>
      </c>
      <c r="F47" s="9">
        <f>IFERROR(MIN(C47,D47)*E47/C47,0)</f>
        <v/>
      </c>
      <c r="G47" s="9" t="n"/>
    </row>
    <row r="48" ht="14.15" customHeight="1">
      <c r="A48" s="7" t="n">
        <v>33</v>
      </c>
      <c r="B48" s="8" t="inlineStr">
        <is>
          <t>Bench Vice</t>
        </is>
      </c>
      <c r="C48" s="9" t="n">
        <v>5</v>
      </c>
      <c r="D48" s="9" t="n">
        <v>0</v>
      </c>
      <c r="E48" s="9" t="n">
        <v>4</v>
      </c>
      <c r="F48" s="9">
        <f>IFERROR(MIN(C48,D48)*E48/C48,0)</f>
        <v/>
      </c>
      <c r="G48" s="9" t="n"/>
    </row>
    <row r="49">
      <c r="A49" s="10" t="inlineStr">
        <is>
          <t>Sum</t>
        </is>
      </c>
      <c r="B49" s="11" t="n"/>
      <c r="C49" s="11" t="n"/>
      <c r="D49" s="12" t="n"/>
      <c r="E49" s="10">
        <f>SUM(E16:E48)</f>
        <v/>
      </c>
      <c r="F49" s="10">
        <f>SUM(F16:F48)</f>
        <v/>
      </c>
      <c r="G49" s="13" t="n"/>
    </row>
    <row r="50">
      <c r="A50" s="10" t="inlineStr">
        <is>
          <t>Score out of 100</t>
        </is>
      </c>
      <c r="B50" s="11" t="n"/>
      <c r="C50" s="11" t="n"/>
      <c r="D50" s="11" t="n"/>
      <c r="E50" s="12" t="n"/>
      <c r="F50" s="10">
        <f>F49/E49*100</f>
        <v/>
      </c>
      <c r="G50" s="13" t="n"/>
    </row>
    <row r="51" ht="9.75" customHeight="1"/>
    <row r="52">
      <c r="A52" s="10" t="inlineStr">
        <is>
          <t xml:space="preserve">Total achieved points out of 30  </t>
        </is>
      </c>
      <c r="B52" s="11" t="n"/>
      <c r="C52" s="11" t="n"/>
      <c r="D52" s="11" t="n"/>
      <c r="E52" s="12" t="n"/>
      <c r="F52" s="10">
        <f>F50*30/100</f>
        <v/>
      </c>
      <c r="G52" s="10" t="inlineStr">
        <is>
          <t>Points</t>
        </is>
      </c>
    </row>
  </sheetData>
  <mergeCells count="8">
    <mergeCell ref="A13:G13"/>
    <mergeCell ref="C7:G7"/>
    <mergeCell ref="A50:E50"/>
    <mergeCell ref="A1:G1"/>
    <mergeCell ref="A52:E52"/>
    <mergeCell ref="A49:D49"/>
    <mergeCell ref="C8:G8"/>
    <mergeCell ref="A51:G5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Refrigeration and Air Conditioning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Refrigeration and Air Conditioning</t>
        </is>
      </c>
      <c r="C8" s="4" t="inlineStr">
        <is>
          <t>Classroom : 350 sft
Workshop/Lab : 800-1000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Refrigeration and Air Conditioning,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Split Type AC (1 Inverter type and 4 non-inverter type)</t>
        </is>
      </c>
      <c r="C16" s="9" t="n">
        <v>5</v>
      </c>
      <c r="D16" s="9" t="n">
        <v>0</v>
      </c>
      <c r="E16" s="9" t="n">
        <v>9</v>
      </c>
      <c r="F16" s="9">
        <f>IFERROR(MIN(C16,D16)*E16/C16,0)</f>
        <v/>
      </c>
      <c r="G16" s="9" t="n"/>
    </row>
    <row r="17" ht="14.15" customHeight="1">
      <c r="A17" s="7" t="n">
        <v>2</v>
      </c>
      <c r="B17" s="8" t="inlineStr">
        <is>
          <t>Window Type AC</t>
        </is>
      </c>
      <c r="C17" s="9" t="n">
        <v>2</v>
      </c>
      <c r="D17" s="9" t="n">
        <v>0</v>
      </c>
      <c r="E17" s="9" t="n">
        <v>7</v>
      </c>
      <c r="F17" s="9">
        <f>IFERROR(MIN(C17,D17)*E17/C17,0)</f>
        <v/>
      </c>
      <c r="G17" s="9" t="n"/>
    </row>
    <row r="18" ht="14.15" customHeight="1">
      <c r="A18" s="7" t="n">
        <v>3</v>
      </c>
      <c r="B18" s="8" t="inlineStr">
        <is>
          <t>Cassette Type AC</t>
        </is>
      </c>
      <c r="C18" s="9" t="n">
        <v>1</v>
      </c>
      <c r="D18" s="9" t="n">
        <v>0</v>
      </c>
      <c r="E18" s="9" t="n">
        <v>7</v>
      </c>
      <c r="F18" s="9">
        <f>IFERROR(MIN(C18,D18)*E18/C18,0)</f>
        <v/>
      </c>
      <c r="G18" s="9" t="n"/>
    </row>
    <row r="19" ht="14.15" customHeight="1">
      <c r="A19" s="7" t="n">
        <v>4</v>
      </c>
      <c r="B19" s="8" t="inlineStr">
        <is>
          <t>Vacuum Pumps</t>
        </is>
      </c>
      <c r="C19" s="9" t="n">
        <v>5</v>
      </c>
      <c r="D19" s="9" t="n">
        <v>0</v>
      </c>
      <c r="E19" s="9" t="n">
        <v>8</v>
      </c>
      <c r="F19" s="9">
        <f>IFERROR(MIN(C19,D19)*E19/C19,0)</f>
        <v/>
      </c>
      <c r="G19" s="9" t="n"/>
    </row>
    <row r="20" ht="14.15" customHeight="1">
      <c r="A20" s="7" t="n">
        <v>5</v>
      </c>
      <c r="B20" s="8" t="inlineStr">
        <is>
          <t>Swaging Tools set</t>
        </is>
      </c>
      <c r="C20" s="9" t="n">
        <v>5</v>
      </c>
      <c r="D20" s="9" t="n">
        <v>0</v>
      </c>
      <c r="E20" s="9" t="n">
        <v>6</v>
      </c>
      <c r="F20" s="9">
        <f>IFERROR(MIN(C20,D20)*E20/C20,0)</f>
        <v/>
      </c>
      <c r="G20" s="9" t="n"/>
    </row>
    <row r="21" ht="14.15" customHeight="1">
      <c r="A21" s="7" t="n">
        <v>6</v>
      </c>
      <c r="B21" s="8" t="inlineStr">
        <is>
          <t>Refrigeration Model</t>
        </is>
      </c>
      <c r="C21" s="9" t="n">
        <v>2</v>
      </c>
      <c r="D21" s="9" t="n">
        <v>0</v>
      </c>
      <c r="E21" s="9" t="n">
        <v>6</v>
      </c>
      <c r="F21" s="9">
        <f>IFERROR(MIN(C21,D21)*E21/C21,0)</f>
        <v/>
      </c>
      <c r="G21" s="9" t="n"/>
    </row>
    <row r="22" ht="14.15" customHeight="1">
      <c r="A22" s="7" t="n">
        <v>7</v>
      </c>
      <c r="B22" s="8" t="inlineStr">
        <is>
          <t>Flaring Tools set</t>
        </is>
      </c>
      <c r="C22" s="9" t="n">
        <v>5</v>
      </c>
      <c r="D22" s="9" t="n">
        <v>0</v>
      </c>
      <c r="E22" s="9" t="n">
        <v>6</v>
      </c>
      <c r="F22" s="9">
        <f>IFERROR(MIN(C22,D22)*E22/C22,0)</f>
        <v/>
      </c>
      <c r="G22" s="9" t="n"/>
    </row>
    <row r="23" ht="14.15" customHeight="1">
      <c r="A23" s="7" t="n">
        <v>8</v>
      </c>
      <c r="B23" s="8" t="inlineStr">
        <is>
          <t>Gas welding Set and its accessories (Cylinder with O2 and acetylene gas)</t>
        </is>
      </c>
      <c r="C23" s="9" t="n">
        <v>1</v>
      </c>
      <c r="D23" s="9" t="n">
        <v>0</v>
      </c>
      <c r="E23" s="9" t="n">
        <v>7</v>
      </c>
      <c r="F23" s="9">
        <f>IFERROR(MIN(C23,D23)*E23/C23,0)</f>
        <v/>
      </c>
      <c r="G23" s="9" t="n"/>
    </row>
    <row r="24" ht="14.15" customHeight="1">
      <c r="A24" s="7" t="n">
        <v>9</v>
      </c>
      <c r="B24" s="8" t="inlineStr">
        <is>
          <t>Working Table</t>
        </is>
      </c>
      <c r="C24" s="9" t="n">
        <v>5</v>
      </c>
      <c r="D24" s="9" t="n">
        <v>0</v>
      </c>
      <c r="E24" s="9" t="n">
        <v>4</v>
      </c>
      <c r="F24" s="9">
        <f>IFERROR(MIN(C24,D24)*E24/C24,0)</f>
        <v/>
      </c>
      <c r="G24" s="9" t="n"/>
    </row>
    <row r="25" ht="14.15" customHeight="1">
      <c r="A25" s="7" t="n">
        <v>10</v>
      </c>
      <c r="B25" s="8" t="inlineStr">
        <is>
          <t>Leak detectors</t>
        </is>
      </c>
      <c r="C25" s="9" t="n">
        <v>2</v>
      </c>
      <c r="D25" s="9" t="n">
        <v>0</v>
      </c>
      <c r="E25" s="9" t="n">
        <v>7</v>
      </c>
      <c r="F25" s="9">
        <f>IFERROR(MIN(C25,D25)*E25/C25,0)</f>
        <v/>
      </c>
      <c r="G25" s="9" t="n"/>
    </row>
    <row r="26" ht="14.15" customHeight="1">
      <c r="A26" s="7" t="n">
        <v>11</v>
      </c>
      <c r="B26" s="8" t="inlineStr">
        <is>
          <t>Freeze (Frost)</t>
        </is>
      </c>
      <c r="C26" s="9" t="n">
        <v>5</v>
      </c>
      <c r="D26" s="9" t="n">
        <v>0</v>
      </c>
      <c r="E26" s="9" t="n">
        <v>6</v>
      </c>
      <c r="F26" s="9">
        <f>IFERROR(MIN(C26,D26)*E26/C26,0)</f>
        <v/>
      </c>
      <c r="G26" s="9" t="n"/>
    </row>
    <row r="27" ht="14.15" customHeight="1">
      <c r="A27" s="7" t="n">
        <v>12</v>
      </c>
      <c r="B27" s="8" t="inlineStr">
        <is>
          <t>Freeze (Non-Frost)</t>
        </is>
      </c>
      <c r="C27" s="9" t="n">
        <v>2</v>
      </c>
      <c r="D27" s="9" t="n">
        <v>0</v>
      </c>
      <c r="E27" s="9" t="n">
        <v>6</v>
      </c>
      <c r="F27" s="9">
        <f>IFERROR(MIN(C27,D27)*E27/C27,0)</f>
        <v/>
      </c>
      <c r="G27" s="9" t="n"/>
    </row>
    <row r="28" ht="14.15" customHeight="1">
      <c r="A28" s="7" t="n">
        <v>13</v>
      </c>
      <c r="B28" s="8" t="inlineStr">
        <is>
          <t>Hand Grinder</t>
        </is>
      </c>
      <c r="C28" s="9" t="n">
        <v>2</v>
      </c>
      <c r="D28" s="9" t="n">
        <v>0</v>
      </c>
      <c r="E28" s="9" t="n">
        <v>4</v>
      </c>
      <c r="F28" s="9">
        <f>IFERROR(MIN(C28,D28)*E28/C28,0)</f>
        <v/>
      </c>
      <c r="G28" s="9" t="n"/>
    </row>
    <row r="29" ht="14.15" customHeight="1">
      <c r="A29" s="7" t="n">
        <v>14</v>
      </c>
      <c r="B29" s="8" t="inlineStr">
        <is>
          <t>Cylinder with Nitrogen gas</t>
        </is>
      </c>
      <c r="C29" s="9" t="n">
        <v>2</v>
      </c>
      <c r="D29" s="9" t="n">
        <v>0</v>
      </c>
      <c r="E29" s="9" t="n">
        <v>5</v>
      </c>
      <c r="F29" s="9">
        <f>IFERROR(MIN(C29,D29)*E29/C29,0)</f>
        <v/>
      </c>
      <c r="G29" s="9" t="n"/>
    </row>
    <row r="30" ht="14.15" customHeight="1">
      <c r="A30" s="7" t="n">
        <v>15</v>
      </c>
      <c r="B30" s="8" t="inlineStr">
        <is>
          <t>Electric Hand Drill Machine</t>
        </is>
      </c>
      <c r="C30" s="9" t="n">
        <v>2</v>
      </c>
      <c r="D30" s="9" t="n">
        <v>0</v>
      </c>
      <c r="E30" s="9" t="n">
        <v>4</v>
      </c>
      <c r="F30" s="9">
        <f>IFERROR(MIN(C30,D30)*E30/C30,0)</f>
        <v/>
      </c>
      <c r="G30" s="9" t="n"/>
    </row>
    <row r="31" ht="14.15" customHeight="1">
      <c r="A31" s="7" t="n">
        <v>16</v>
      </c>
      <c r="B31" s="8" t="inlineStr">
        <is>
          <t>Hammer Drill Machine</t>
        </is>
      </c>
      <c r="C31" s="9" t="n">
        <v>2</v>
      </c>
      <c r="D31" s="9" t="n">
        <v>0</v>
      </c>
      <c r="E31" s="9" t="n">
        <v>4</v>
      </c>
      <c r="F31" s="9">
        <f>IFERROR(MIN(C31,D31)*E31/C31,0)</f>
        <v/>
      </c>
      <c r="G31" s="9" t="n"/>
    </row>
    <row r="32" ht="14.15" customHeight="1">
      <c r="A32" s="7" t="n">
        <v>17</v>
      </c>
      <c r="B32" s="8" t="inlineStr">
        <is>
          <t>Refrigerant Recovery Machine</t>
        </is>
      </c>
      <c r="C32" s="9" t="n">
        <v>2</v>
      </c>
      <c r="D32" s="9" t="n">
        <v>0</v>
      </c>
      <c r="E32" s="9" t="n">
        <v>8</v>
      </c>
      <c r="F32" s="9">
        <f>IFERROR(MIN(C32,D32)*E32/C32,0)</f>
        <v/>
      </c>
      <c r="G32" s="9" t="n"/>
    </row>
    <row r="33" ht="14.15" customHeight="1">
      <c r="A33" s="7" t="n">
        <v>18</v>
      </c>
      <c r="B33" s="8" t="inlineStr">
        <is>
          <t>Refrigerant Recovery Cylinder</t>
        </is>
      </c>
      <c r="C33" s="9" t="n">
        <v>2</v>
      </c>
      <c r="D33" s="9" t="n">
        <v>0</v>
      </c>
      <c r="E33" s="9" t="n">
        <v>5</v>
      </c>
      <c r="F33" s="9">
        <f>IFERROR(MIN(C33,D33)*E33/C33,0)</f>
        <v/>
      </c>
      <c r="G33" s="9" t="n"/>
    </row>
    <row r="34">
      <c r="A34" s="10" t="inlineStr">
        <is>
          <t>Sum</t>
        </is>
      </c>
      <c r="B34" s="11" t="n"/>
      <c r="C34" s="11" t="n"/>
      <c r="D34" s="12" t="n"/>
      <c r="E34" s="10">
        <f>SUM(E16:E33)</f>
        <v/>
      </c>
      <c r="F34" s="10">
        <f>SUM(F16:F33)</f>
        <v/>
      </c>
      <c r="G34" s="13" t="n"/>
    </row>
    <row r="35">
      <c r="A35" s="10" t="inlineStr">
        <is>
          <t>Score out of 100</t>
        </is>
      </c>
      <c r="B35" s="11" t="n"/>
      <c r="C35" s="11" t="n"/>
      <c r="D35" s="11" t="n"/>
      <c r="E35" s="12" t="n"/>
      <c r="F35" s="10">
        <f>F34/E34*100</f>
        <v/>
      </c>
      <c r="G35" s="13" t="n"/>
    </row>
    <row r="36" ht="9.75" customHeight="1"/>
    <row r="37">
      <c r="A37" s="10" t="inlineStr">
        <is>
          <t xml:space="preserve">Total achieved points out of 30  </t>
        </is>
      </c>
      <c r="B37" s="11" t="n"/>
      <c r="C37" s="11" t="n"/>
      <c r="D37" s="11" t="n"/>
      <c r="E37" s="12" t="n"/>
      <c r="F37" s="10">
        <f>F35*30/100</f>
        <v/>
      </c>
      <c r="G37" s="10"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Machine Shop Practice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Machine Shop Practice</t>
        </is>
      </c>
      <c r="C8" s="4" t="inlineStr">
        <is>
          <t>Classroom : 350 sft
Workshop/ Lab : 800-1000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Machine Shop Practice,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Lathe Machine</t>
        </is>
      </c>
      <c r="C16" s="9" t="n">
        <v>10</v>
      </c>
      <c r="D16" s="9" t="n">
        <v>0</v>
      </c>
      <c r="E16" s="9" t="n">
        <v>10</v>
      </c>
      <c r="F16" s="9">
        <f>IFERROR(MIN(C16,D16)*E16/C16,0)</f>
        <v/>
      </c>
      <c r="G16" s="9" t="n"/>
    </row>
    <row r="17" ht="14.15" customHeight="1">
      <c r="A17" s="7" t="n">
        <v>2</v>
      </c>
      <c r="B17" s="8" t="inlineStr">
        <is>
          <t>Shaper Machine</t>
        </is>
      </c>
      <c r="C17" s="9" t="n">
        <v>1</v>
      </c>
      <c r="D17" s="9" t="n">
        <v>0</v>
      </c>
      <c r="E17" s="9" t="n">
        <v>8</v>
      </c>
      <c r="F17" s="9">
        <f>IFERROR(MIN(C17,D17)*E17/C17,0)</f>
        <v/>
      </c>
      <c r="G17" s="9" t="n"/>
    </row>
    <row r="18" ht="14.15" customHeight="1">
      <c r="A18" s="7" t="n">
        <v>3</v>
      </c>
      <c r="B18" s="8" t="inlineStr">
        <is>
          <t>Milling Machine</t>
        </is>
      </c>
      <c r="C18" s="9" t="n">
        <v>1</v>
      </c>
      <c r="D18" s="9" t="n">
        <v>0</v>
      </c>
      <c r="E18" s="9" t="n">
        <v>9</v>
      </c>
      <c r="F18" s="9">
        <f>IFERROR(MIN(C18,D18)*E18/C18,0)</f>
        <v/>
      </c>
      <c r="G18" s="9" t="n"/>
    </row>
    <row r="19" ht="14.15" customHeight="1">
      <c r="A19" s="7" t="n">
        <v>4</v>
      </c>
      <c r="B19" s="8" t="inlineStr">
        <is>
          <t>Drill Machine</t>
        </is>
      </c>
      <c r="C19" s="9" t="n">
        <v>2</v>
      </c>
      <c r="D19" s="9" t="n">
        <v>0</v>
      </c>
      <c r="E19" s="9" t="n">
        <v>7</v>
      </c>
      <c r="F19" s="9">
        <f>IFERROR(MIN(C19,D19)*E19/C19,0)</f>
        <v/>
      </c>
      <c r="G19" s="9" t="n"/>
    </row>
    <row r="20" ht="14.15" customHeight="1">
      <c r="A20" s="7" t="n">
        <v>5</v>
      </c>
      <c r="B20" s="8" t="inlineStr">
        <is>
          <t>Bench Vice</t>
        </is>
      </c>
      <c r="C20" s="9" t="n">
        <v>8</v>
      </c>
      <c r="D20" s="9" t="n">
        <v>0</v>
      </c>
      <c r="E20" s="9" t="n">
        <v>6</v>
      </c>
      <c r="F20" s="9">
        <f>IFERROR(MIN(C20,D20)*E20/C20,0)</f>
        <v/>
      </c>
      <c r="G20" s="9" t="n"/>
    </row>
    <row r="21" ht="14.15" customHeight="1">
      <c r="A21" s="7" t="n">
        <v>6</v>
      </c>
      <c r="B21" s="8" t="inlineStr">
        <is>
          <t>Surface Grinding Machine</t>
        </is>
      </c>
      <c r="C21" s="9" t="n">
        <v>2</v>
      </c>
      <c r="D21" s="9" t="n">
        <v>0</v>
      </c>
      <c r="E21" s="9" t="n">
        <v>8</v>
      </c>
      <c r="F21" s="9">
        <f>IFERROR(MIN(C21,D21)*E21/C21,0)</f>
        <v/>
      </c>
      <c r="G21" s="9" t="n"/>
    </row>
    <row r="22" ht="14.15" customHeight="1">
      <c r="A22" s="7" t="n">
        <v>7</v>
      </c>
      <c r="B22" s="8" t="inlineStr">
        <is>
          <t>Power hacksaw</t>
        </is>
      </c>
      <c r="C22" s="9" t="n">
        <v>1</v>
      </c>
      <c r="D22" s="9" t="n">
        <v>0</v>
      </c>
      <c r="E22" s="9" t="n">
        <v>6</v>
      </c>
      <c r="F22" s="9">
        <f>IFERROR(MIN(C22,D22)*E22/C22,0)</f>
        <v/>
      </c>
      <c r="G22" s="9" t="n"/>
    </row>
    <row r="23" ht="14.15" customHeight="1">
      <c r="A23" s="7" t="n">
        <v>8</v>
      </c>
      <c r="B23" s="8" t="inlineStr">
        <is>
          <t>Cut off saw</t>
        </is>
      </c>
      <c r="C23" s="9" t="n">
        <v>1</v>
      </c>
      <c r="D23" s="9" t="n">
        <v>0</v>
      </c>
      <c r="E23" s="9" t="n">
        <v>6</v>
      </c>
      <c r="F23" s="9">
        <f>IFERROR(MIN(C23,D23)*E23/C23,0)</f>
        <v/>
      </c>
      <c r="G23" s="9" t="n"/>
    </row>
    <row r="24" ht="14.15" customHeight="1">
      <c r="A24" s="7" t="n">
        <v>9</v>
      </c>
      <c r="B24" s="8" t="inlineStr">
        <is>
          <t>Working Table</t>
        </is>
      </c>
      <c r="C24" s="9" t="n">
        <v>5</v>
      </c>
      <c r="D24" s="9" t="n">
        <v>0</v>
      </c>
      <c r="E24" s="9" t="n">
        <v>4</v>
      </c>
      <c r="F24" s="9">
        <f>IFERROR(MIN(C24,D24)*E24/C24,0)</f>
        <v/>
      </c>
      <c r="G24" s="9" t="n"/>
    </row>
    <row r="25">
      <c r="A25" s="10" t="inlineStr">
        <is>
          <t>Sum</t>
        </is>
      </c>
      <c r="B25" s="11" t="n"/>
      <c r="C25" s="11" t="n"/>
      <c r="D25" s="12" t="n"/>
      <c r="E25" s="10">
        <f>SUM(E16:E24)</f>
        <v/>
      </c>
      <c r="F25" s="10">
        <f>SUM(F16:F24)</f>
        <v/>
      </c>
      <c r="G25" s="13" t="n"/>
    </row>
    <row r="26">
      <c r="A26" s="10" t="inlineStr">
        <is>
          <t>Score out of 100</t>
        </is>
      </c>
      <c r="B26" s="11" t="n"/>
      <c r="C26" s="11" t="n"/>
      <c r="D26" s="11" t="n"/>
      <c r="E26" s="12" t="n"/>
      <c r="F26" s="10">
        <f>F25/E25*100</f>
        <v/>
      </c>
      <c r="G26" s="13" t="n"/>
    </row>
    <row r="27" ht="9.75" customHeight="1"/>
    <row r="28">
      <c r="A28" s="10" t="inlineStr">
        <is>
          <t xml:space="preserve">Total achieved points out of 30  </t>
        </is>
      </c>
      <c r="B28" s="11" t="n"/>
      <c r="C28" s="11" t="n"/>
      <c r="D28" s="11" t="n"/>
      <c r="E28" s="12" t="n"/>
      <c r="F28" s="10">
        <f>F26*30/100</f>
        <v/>
      </c>
      <c r="G28" s="10"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Welding (1G, 2G &amp; 3G)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Welding (1G, 2G &amp; 3G)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Welding (1G, 2G &amp; 3G),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AC/DC Arc welding machine</t>
        </is>
      </c>
      <c r="C19" s="9" t="n">
        <v>10</v>
      </c>
      <c r="D19" s="9" t="n">
        <v>0</v>
      </c>
      <c r="E19" s="9" t="n">
        <v>9</v>
      </c>
      <c r="F19" s="9">
        <f>IFERROR(MIN(C19,D19)*E19/C19,0)</f>
        <v/>
      </c>
      <c r="G19" s="9" t="n"/>
    </row>
    <row r="20" ht="14.15" customHeight="1">
      <c r="A20" s="7" t="n">
        <v>5</v>
      </c>
      <c r="B20" s="8" t="inlineStr">
        <is>
          <t>Gas welding set</t>
        </is>
      </c>
      <c r="C20" s="9" t="n">
        <v>3</v>
      </c>
      <c r="D20" s="9" t="n">
        <v>0</v>
      </c>
      <c r="E20" s="9" t="n">
        <v>8</v>
      </c>
      <c r="F20" s="9">
        <f>IFERROR(MIN(C20,D20)*E20/C20,0)</f>
        <v/>
      </c>
      <c r="G20" s="9" t="n"/>
    </row>
    <row r="21" ht="14.15" customHeight="1">
      <c r="A21" s="7" t="n">
        <v>6</v>
      </c>
      <c r="B21" s="8" t="inlineStr">
        <is>
          <t>MIG welding machine</t>
        </is>
      </c>
      <c r="C21" s="9" t="n">
        <v>5</v>
      </c>
      <c r="D21" s="9" t="n">
        <v>0</v>
      </c>
      <c r="E21" s="9" t="n">
        <v>9</v>
      </c>
      <c r="F21" s="9">
        <f>IFERROR(MIN(C21,D21)*E21/C21,0)</f>
        <v/>
      </c>
      <c r="G21" s="9" t="n"/>
    </row>
    <row r="22" ht="14.15" customHeight="1">
      <c r="A22" s="7" t="n">
        <v>7</v>
      </c>
      <c r="B22" s="8" t="inlineStr">
        <is>
          <t>TIG welding machine</t>
        </is>
      </c>
      <c r="C22" s="9" t="n">
        <v>5</v>
      </c>
      <c r="D22" s="9" t="n">
        <v>0</v>
      </c>
      <c r="E22" s="9" t="n">
        <v>9</v>
      </c>
      <c r="F22" s="9">
        <f>IFERROR(MIN(C22,D22)*E22/C22,0)</f>
        <v/>
      </c>
      <c r="G22" s="9" t="n"/>
    </row>
    <row r="23" ht="14.15" customHeight="1">
      <c r="A23" s="7" t="n">
        <v>8</v>
      </c>
      <c r="B23" s="8" t="inlineStr">
        <is>
          <t>Gas cutting set</t>
        </is>
      </c>
      <c r="C23" s="9" t="n">
        <v>2</v>
      </c>
      <c r="D23" s="9" t="n">
        <v>0</v>
      </c>
      <c r="E23" s="9" t="n">
        <v>8</v>
      </c>
      <c r="F23" s="9">
        <f>IFERROR(MIN(C23,D23)*E23/C23,0)</f>
        <v/>
      </c>
      <c r="G23" s="9" t="n"/>
    </row>
    <row r="24" ht="14.15" customHeight="1">
      <c r="A24" s="7" t="n">
        <v>9</v>
      </c>
      <c r="B24" s="8" t="inlineStr">
        <is>
          <t>Spare cylinder set (Argon, oxygen and acetylene)</t>
        </is>
      </c>
      <c r="C24" s="9" t="n">
        <v>1</v>
      </c>
      <c r="D24" s="9" t="n">
        <v>0</v>
      </c>
      <c r="E24" s="9" t="n">
        <v>6</v>
      </c>
      <c r="F24" s="9">
        <f>IFERROR(MIN(C24,D24)*E24/C24,0)</f>
        <v/>
      </c>
      <c r="G24" s="9" t="n"/>
    </row>
    <row r="25" ht="14.15" customHeight="1">
      <c r="A25" s="7" t="n">
        <v>10</v>
      </c>
      <c r="B25" s="8" t="inlineStr">
        <is>
          <t>Power grinding machine</t>
        </is>
      </c>
      <c r="C25" s="9" t="n">
        <v>1</v>
      </c>
      <c r="D25" s="9" t="n">
        <v>0</v>
      </c>
      <c r="E25" s="9" t="n">
        <v>6</v>
      </c>
      <c r="F25" s="9">
        <f>IFERROR(MIN(C25,D25)*E25/C25,0)</f>
        <v/>
      </c>
      <c r="G25" s="9" t="n"/>
    </row>
    <row r="26" ht="14.15" customHeight="1">
      <c r="A26" s="7" t="n">
        <v>11</v>
      </c>
      <c r="B26" s="8" t="inlineStr">
        <is>
          <t>Hand grinding machine</t>
        </is>
      </c>
      <c r="C26" s="9" t="n">
        <v>4</v>
      </c>
      <c r="D26" s="9" t="n">
        <v>0</v>
      </c>
      <c r="E26" s="9" t="n">
        <v>6</v>
      </c>
      <c r="F26" s="9">
        <f>IFERROR(MIN(C26,D26)*E26/C26,0)</f>
        <v/>
      </c>
      <c r="G26" s="9" t="n"/>
    </row>
    <row r="27" ht="14.15" customHeight="1">
      <c r="A27" s="7" t="n">
        <v>12</v>
      </c>
      <c r="B27" s="8" t="inlineStr">
        <is>
          <t>Bench vice</t>
        </is>
      </c>
      <c r="C27" s="9" t="n">
        <v>10</v>
      </c>
      <c r="D27" s="9" t="n">
        <v>0</v>
      </c>
      <c r="E27" s="9" t="n">
        <v>5</v>
      </c>
      <c r="F27" s="9">
        <f>IFERROR(MIN(C27,D27)*E27/C27,0)</f>
        <v/>
      </c>
      <c r="G27" s="9" t="n"/>
    </row>
    <row r="28" ht="14.15" customHeight="1">
      <c r="A28" s="7" t="n">
        <v>13</v>
      </c>
      <c r="B28" s="8" t="inlineStr">
        <is>
          <t>Tool box set for welding workshop</t>
        </is>
      </c>
      <c r="C28" s="9" t="n">
        <v>10</v>
      </c>
      <c r="D28" s="9" t="n">
        <v>0</v>
      </c>
      <c r="E28" s="9" t="n">
        <v>5</v>
      </c>
      <c r="F28" s="9">
        <f>IFERROR(MIN(C28,D28)*E28/C28,0)</f>
        <v/>
      </c>
      <c r="G28" s="9" t="n"/>
    </row>
    <row r="29" ht="14.15" customHeight="1">
      <c r="A29" s="7" t="n">
        <v>14</v>
      </c>
      <c r="B29" s="8" t="inlineStr">
        <is>
          <t>Fire extinguisher</t>
        </is>
      </c>
      <c r="C29" s="9" t="n">
        <v>4</v>
      </c>
      <c r="D29" s="9" t="n">
        <v>0</v>
      </c>
      <c r="E29" s="9" t="n">
        <v>4</v>
      </c>
      <c r="F29" s="9">
        <f>IFERROR(MIN(C29,D29)*E29/C29,0)</f>
        <v/>
      </c>
      <c r="G29" s="9" t="n"/>
    </row>
    <row r="30" ht="14.15" customHeight="1">
      <c r="A30" s="7" t="n">
        <v>15</v>
      </c>
      <c r="B30" s="8" t="inlineStr">
        <is>
          <t>Welding booth with exhaust system</t>
        </is>
      </c>
      <c r="C30" s="9" t="n">
        <v>10</v>
      </c>
      <c r="D30" s="9" t="n">
        <v>0</v>
      </c>
      <c r="E30" s="9" t="n">
        <v>7</v>
      </c>
      <c r="F30" s="9">
        <f>IFERROR(MIN(C30,D30)*E30/C30,0)</f>
        <v/>
      </c>
      <c r="G30" s="9" t="n"/>
    </row>
    <row r="31" ht="14.15" customHeight="1">
      <c r="A31" s="7" t="n">
        <v>16</v>
      </c>
      <c r="B31" s="8" t="inlineStr">
        <is>
          <t>First aid box</t>
        </is>
      </c>
      <c r="C31" s="9" t="n">
        <v>3</v>
      </c>
      <c r="D31" s="9" t="n">
        <v>0</v>
      </c>
      <c r="E31" s="9" t="n">
        <v>3</v>
      </c>
      <c r="F31" s="9">
        <f>IFERROR(MIN(C31,D31)*E31/C31,0)</f>
        <v/>
      </c>
      <c r="G31" s="9" t="n"/>
    </row>
    <row r="32">
      <c r="A32" s="10" t="inlineStr">
        <is>
          <t>Sum</t>
        </is>
      </c>
      <c r="B32" s="11" t="n"/>
      <c r="C32" s="11" t="n"/>
      <c r="D32" s="12" t="n"/>
      <c r="E32" s="10">
        <f>SUM(E16:E31)</f>
        <v/>
      </c>
      <c r="F32" s="10">
        <f>SUM(F16:F31)</f>
        <v/>
      </c>
      <c r="G32" s="13" t="n"/>
    </row>
    <row r="33">
      <c r="A33" s="10" t="inlineStr">
        <is>
          <t>Score out of 100</t>
        </is>
      </c>
      <c r="B33" s="11" t="n"/>
      <c r="C33" s="11" t="n"/>
      <c r="D33" s="11" t="n"/>
      <c r="E33" s="12" t="n"/>
      <c r="F33" s="10">
        <f>F32/E32*100</f>
        <v/>
      </c>
      <c r="G33" s="13" t="n"/>
    </row>
    <row r="34" ht="9.75" customHeight="1"/>
    <row r="35">
      <c r="A35" s="10" t="inlineStr">
        <is>
          <t xml:space="preserve">Total achieved points out of 30  </t>
        </is>
      </c>
      <c r="B35" s="11" t="n"/>
      <c r="C35" s="11" t="n"/>
      <c r="D35" s="11" t="n"/>
      <c r="E35" s="12" t="n"/>
      <c r="F35" s="10">
        <f>F33*30/100</f>
        <v/>
      </c>
      <c r="G35" s="10" t="inlineStr">
        <is>
          <t>Points</t>
        </is>
      </c>
    </row>
  </sheetData>
  <mergeCells count="8">
    <mergeCell ref="A13:G13"/>
    <mergeCell ref="C7:G7"/>
    <mergeCell ref="A35:E35"/>
    <mergeCell ref="A1:G1"/>
    <mergeCell ref="A34:G34"/>
    <mergeCell ref="A33:E33"/>
    <mergeCell ref="C8:G8"/>
    <mergeCell ref="A32:D3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Certificate course in PLC/PLC operation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Certificate course in PLC/PLC operation</t>
        </is>
      </c>
      <c r="C8" s="4" t="inlineStr">
        <is>
          <t>Computer Lab : 400 sft
Workshop : 700-800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Certificate course in PLC/PLC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 with PLC software</t>
        </is>
      </c>
      <c r="C16" s="9" t="n">
        <v>25</v>
      </c>
      <c r="D16" s="9" t="n">
        <v>0</v>
      </c>
      <c r="E16" s="9" t="n">
        <v>9</v>
      </c>
      <c r="F16" s="9">
        <f>IFERROR(MIN(C16,D16)*E16/C16,0)</f>
        <v/>
      </c>
      <c r="G16" s="9" t="n"/>
    </row>
    <row r="17" ht="14.15" customHeight="1">
      <c r="A17" s="7" t="n">
        <v>2</v>
      </c>
      <c r="B17" s="8" t="inlineStr">
        <is>
          <t>HMI (Human-Machine Interface)</t>
        </is>
      </c>
      <c r="C17" s="9" t="n">
        <v>10</v>
      </c>
      <c r="D17" s="9" t="n">
        <v>0</v>
      </c>
      <c r="E17" s="9" t="n">
        <v>9</v>
      </c>
      <c r="F17" s="9">
        <f>IFERROR(MIN(C17,D17)*E17/C17,0)</f>
        <v/>
      </c>
      <c r="G17" s="9" t="n"/>
    </row>
    <row r="18" ht="14.15" customHeight="1">
      <c r="A18" s="7" t="n">
        <v>3</v>
      </c>
      <c r="B18" s="8" t="inlineStr">
        <is>
          <t>PLC with required modules (Siemens S7-1200, Mitsubishi and Delta)</t>
        </is>
      </c>
      <c r="C18" s="9" t="n">
        <v>10</v>
      </c>
      <c r="D18" s="9" t="n">
        <v>0</v>
      </c>
      <c r="E18" s="9" t="n">
        <v>10</v>
      </c>
      <c r="F18" s="9">
        <f>IFERROR(MIN(C18,D18)*E18/C18,0)</f>
        <v/>
      </c>
      <c r="G18" s="9" t="n"/>
    </row>
    <row r="19" ht="14.15" customHeight="1">
      <c r="A19" s="7" t="n">
        <v>4</v>
      </c>
      <c r="B19" s="8" t="inlineStr">
        <is>
          <t>PLC to HMI communication cable</t>
        </is>
      </c>
      <c r="C19" s="9" t="n">
        <v>10</v>
      </c>
      <c r="D19" s="9" t="n">
        <v>0</v>
      </c>
      <c r="E19" s="9" t="n">
        <v>5</v>
      </c>
      <c r="F19" s="9">
        <f>IFERROR(MIN(C19,D19)*E19/C19,0)</f>
        <v/>
      </c>
      <c r="G19" s="9" t="n"/>
    </row>
    <row r="20" ht="14.15" customHeight="1">
      <c r="A20" s="7" t="n">
        <v>5</v>
      </c>
      <c r="B20" s="8" t="inlineStr">
        <is>
          <t>PLC Programming cable</t>
        </is>
      </c>
      <c r="C20" s="9" t="n">
        <v>10</v>
      </c>
      <c r="D20" s="9" t="n">
        <v>0</v>
      </c>
      <c r="E20" s="9" t="n">
        <v>5</v>
      </c>
      <c r="F20" s="9">
        <f>IFERROR(MIN(C20,D20)*E20/C20,0)</f>
        <v/>
      </c>
      <c r="G20" s="9" t="n"/>
    </row>
    <row r="21" ht="14.15" customHeight="1">
      <c r="A21" s="7" t="n">
        <v>6</v>
      </c>
      <c r="B21" s="8" t="inlineStr">
        <is>
          <t>Limit Switch</t>
        </is>
      </c>
      <c r="C21" s="9" t="n">
        <v>25</v>
      </c>
      <c r="D21" s="9" t="n">
        <v>0</v>
      </c>
      <c r="E21" s="9" t="n">
        <v>5</v>
      </c>
      <c r="F21" s="9">
        <f>IFERROR(MIN(C21,D21)*E21/C21,0)</f>
        <v/>
      </c>
      <c r="G21" s="9" t="n"/>
    </row>
    <row r="22" ht="14.15" customHeight="1">
      <c r="A22" s="7" t="n">
        <v>7</v>
      </c>
      <c r="B22" s="8" t="inlineStr">
        <is>
          <t>Proximity Sensor</t>
        </is>
      </c>
      <c r="C22" s="9" t="n">
        <v>25</v>
      </c>
      <c r="D22" s="9" t="n">
        <v>0</v>
      </c>
      <c r="E22" s="9" t="n">
        <v>6</v>
      </c>
      <c r="F22" s="9">
        <f>IFERROR(MIN(C22,D22)*E22/C22,0)</f>
        <v/>
      </c>
      <c r="G22" s="9" t="n"/>
    </row>
    <row r="23" ht="14.15" customHeight="1">
      <c r="A23" s="7" t="n">
        <v>8</v>
      </c>
      <c r="B23" s="8" t="inlineStr">
        <is>
          <t>Photo Electric</t>
        </is>
      </c>
      <c r="C23" s="9" t="n">
        <v>25</v>
      </c>
      <c r="D23" s="9" t="n">
        <v>0</v>
      </c>
      <c r="E23" s="9" t="n">
        <v>6</v>
      </c>
      <c r="F23" s="9">
        <f>IFERROR(MIN(C23,D23)*E23/C23,0)</f>
        <v/>
      </c>
      <c r="G23" s="9" t="n"/>
    </row>
    <row r="24" ht="14.15" customHeight="1">
      <c r="A24" s="7" t="n">
        <v>9</v>
      </c>
      <c r="B24" s="8" t="inlineStr">
        <is>
          <t>Float Sensor</t>
        </is>
      </c>
      <c r="C24" s="9" t="n">
        <v>10</v>
      </c>
      <c r="D24" s="9" t="n">
        <v>0</v>
      </c>
      <c r="E24" s="9" t="n">
        <v>6</v>
      </c>
      <c r="F24" s="9">
        <f>IFERROR(MIN(C24,D24)*E24/C24,0)</f>
        <v/>
      </c>
      <c r="G24" s="9" t="n"/>
    </row>
    <row r="25" ht="14.15" customHeight="1">
      <c r="A25" s="7" t="n">
        <v>10</v>
      </c>
      <c r="B25" s="8" t="inlineStr">
        <is>
          <t>Pressure Sensor/Transmitter</t>
        </is>
      </c>
      <c r="C25" s="9" t="n">
        <v>10</v>
      </c>
      <c r="D25" s="9" t="n">
        <v>0</v>
      </c>
      <c r="E25" s="9" t="n">
        <v>6</v>
      </c>
      <c r="F25" s="9">
        <f>IFERROR(MIN(C25,D25)*E25/C25,0)</f>
        <v/>
      </c>
      <c r="G25" s="9" t="n"/>
    </row>
    <row r="26" ht="14.15" customHeight="1">
      <c r="A26" s="7" t="n">
        <v>11</v>
      </c>
      <c r="B26" s="8" t="inlineStr">
        <is>
          <t>Temperature Sensor RTD</t>
        </is>
      </c>
      <c r="C26" s="9" t="n">
        <v>10</v>
      </c>
      <c r="D26" s="9" t="n">
        <v>0</v>
      </c>
      <c r="E26" s="9" t="n">
        <v>6</v>
      </c>
      <c r="F26" s="9">
        <f>IFERROR(MIN(C26,D26)*E26/C26,0)</f>
        <v/>
      </c>
      <c r="G26" s="9" t="n"/>
    </row>
    <row r="27" ht="14.15" customHeight="1">
      <c r="A27" s="7" t="n">
        <v>12</v>
      </c>
      <c r="B27" s="8" t="inlineStr">
        <is>
          <t>Temperature Sensor Thermocouple</t>
        </is>
      </c>
      <c r="C27" s="9" t="n">
        <v>10</v>
      </c>
      <c r="D27" s="9" t="n">
        <v>0</v>
      </c>
      <c r="E27" s="9" t="n">
        <v>6</v>
      </c>
      <c r="F27" s="9">
        <f>IFERROR(MIN(C27,D27)*E27/C27,0)</f>
        <v/>
      </c>
      <c r="G27" s="9" t="n"/>
    </row>
    <row r="28" ht="14.15" customHeight="1">
      <c r="A28" s="7" t="n">
        <v>13</v>
      </c>
      <c r="B28" s="8" t="inlineStr">
        <is>
          <t>Push button switch (green)</t>
        </is>
      </c>
      <c r="C28" s="9" t="n">
        <v>50</v>
      </c>
      <c r="D28" s="9" t="n">
        <v>0</v>
      </c>
      <c r="E28" s="9" t="n">
        <v>3</v>
      </c>
      <c r="F28" s="9">
        <f>IFERROR(MIN(C28,D28)*E28/C28,0)</f>
        <v/>
      </c>
      <c r="G28" s="9" t="n"/>
    </row>
    <row r="29" ht="14.15" customHeight="1">
      <c r="A29" s="7" t="n">
        <v>14</v>
      </c>
      <c r="B29" s="8" t="inlineStr">
        <is>
          <t>Push button switch (red)</t>
        </is>
      </c>
      <c r="C29" s="9" t="n">
        <v>25</v>
      </c>
      <c r="D29" s="9" t="n">
        <v>0</v>
      </c>
      <c r="E29" s="9" t="n">
        <v>3</v>
      </c>
      <c r="F29" s="9">
        <f>IFERROR(MIN(C29,D29)*E29/C29,0)</f>
        <v/>
      </c>
      <c r="G29" s="9" t="n"/>
    </row>
    <row r="30" ht="14.15" customHeight="1">
      <c r="A30" s="7" t="n">
        <v>15</v>
      </c>
      <c r="B30" s="8" t="inlineStr">
        <is>
          <t>Selector switch</t>
        </is>
      </c>
      <c r="C30" s="9" t="n">
        <v>25</v>
      </c>
      <c r="D30" s="9" t="n">
        <v>0</v>
      </c>
      <c r="E30" s="9" t="n">
        <v>4</v>
      </c>
      <c r="F30" s="9">
        <f>IFERROR(MIN(C30,D30)*E30/C30,0)</f>
        <v/>
      </c>
      <c r="G30" s="9" t="n"/>
    </row>
    <row r="31" ht="14.15" customHeight="1">
      <c r="A31" s="7" t="n">
        <v>16</v>
      </c>
      <c r="B31" s="8" t="inlineStr">
        <is>
          <t>Emergency stop switch</t>
        </is>
      </c>
      <c r="C31" s="9" t="n">
        <v>25</v>
      </c>
      <c r="D31" s="9" t="n">
        <v>0</v>
      </c>
      <c r="E31" s="9" t="n">
        <v>4</v>
      </c>
      <c r="F31" s="9">
        <f>IFERROR(MIN(C31,D31)*E31/C31,0)</f>
        <v/>
      </c>
      <c r="G31" s="9" t="n"/>
    </row>
    <row r="32" ht="14.15" customHeight="1">
      <c r="A32" s="7" t="n">
        <v>17</v>
      </c>
      <c r="B32" s="8" t="inlineStr">
        <is>
          <t>Indication lamp</t>
        </is>
      </c>
      <c r="C32" s="9" t="n">
        <v>50</v>
      </c>
      <c r="D32" s="9" t="n">
        <v>0</v>
      </c>
      <c r="E32" s="9" t="n">
        <v>3</v>
      </c>
      <c r="F32" s="9">
        <f>IFERROR(MIN(C32,D32)*E32/C32,0)</f>
        <v/>
      </c>
      <c r="G32" s="9" t="n"/>
    </row>
    <row r="33" ht="14.15" customHeight="1">
      <c r="A33" s="7" t="n">
        <v>18</v>
      </c>
      <c r="B33" s="8" t="inlineStr">
        <is>
          <t>Magnetic contactor</t>
        </is>
      </c>
      <c r="C33" s="9" t="n">
        <v>100</v>
      </c>
      <c r="D33" s="9" t="n">
        <v>0</v>
      </c>
      <c r="E33" s="9" t="n">
        <v>5</v>
      </c>
      <c r="F33" s="9">
        <f>IFERROR(MIN(C33,D33)*E33/C33,0)</f>
        <v/>
      </c>
      <c r="G33" s="9" t="n"/>
    </row>
    <row r="34" ht="14.15" customHeight="1">
      <c r="A34" s="7" t="n">
        <v>19</v>
      </c>
      <c r="B34" s="8" t="inlineStr">
        <is>
          <t>Relay</t>
        </is>
      </c>
      <c r="C34" s="9" t="n">
        <v>100</v>
      </c>
      <c r="D34" s="9" t="n">
        <v>0</v>
      </c>
      <c r="E34" s="9" t="n">
        <v>5</v>
      </c>
      <c r="F34" s="9">
        <f>IFERROR(MIN(C34,D34)*E34/C34,0)</f>
        <v/>
      </c>
      <c r="G34" s="9" t="n"/>
    </row>
    <row r="35" ht="14.15" customHeight="1">
      <c r="A35" s="7" t="n">
        <v>20</v>
      </c>
      <c r="B35" s="8" t="inlineStr">
        <is>
          <t>Timer</t>
        </is>
      </c>
      <c r="C35" s="9" t="n">
        <v>100</v>
      </c>
      <c r="D35" s="9" t="n">
        <v>0</v>
      </c>
      <c r="E35" s="9" t="n">
        <v>5</v>
      </c>
      <c r="F35" s="9">
        <f>IFERROR(MIN(C35,D35)*E35/C35,0)</f>
        <v/>
      </c>
      <c r="G35" s="9" t="n"/>
    </row>
    <row r="36" ht="14.15" customHeight="1">
      <c r="A36" s="7" t="n">
        <v>21</v>
      </c>
      <c r="B36" s="8" t="inlineStr">
        <is>
          <t>Counter</t>
        </is>
      </c>
      <c r="C36" s="9" t="n">
        <v>25</v>
      </c>
      <c r="D36" s="9" t="n">
        <v>0</v>
      </c>
      <c r="E36" s="9" t="n">
        <v>5</v>
      </c>
      <c r="F36" s="9">
        <f>IFERROR(MIN(C36,D36)*E36/C36,0)</f>
        <v/>
      </c>
      <c r="G36" s="9" t="n"/>
    </row>
    <row r="37" ht="14.15" customHeight="1">
      <c r="A37" s="7" t="n">
        <v>22</v>
      </c>
      <c r="B37" s="8" t="inlineStr">
        <is>
          <t>Three phase induction motor</t>
        </is>
      </c>
      <c r="C37" s="9" t="n">
        <v>10</v>
      </c>
      <c r="D37" s="9" t="n">
        <v>0</v>
      </c>
      <c r="E37" s="9" t="n">
        <v>7</v>
      </c>
      <c r="F37" s="9">
        <f>IFERROR(MIN(C37,D37)*E37/C37,0)</f>
        <v/>
      </c>
      <c r="G37" s="9" t="n"/>
    </row>
    <row r="38" ht="14.15" customHeight="1">
      <c r="A38" s="7" t="n">
        <v>23</v>
      </c>
      <c r="B38" s="8" t="inlineStr">
        <is>
          <t>Single phase induction motor</t>
        </is>
      </c>
      <c r="C38" s="9" t="n">
        <v>5</v>
      </c>
      <c r="D38" s="9" t="n">
        <v>0</v>
      </c>
      <c r="E38" s="9" t="n">
        <v>6</v>
      </c>
      <c r="F38" s="9">
        <f>IFERROR(MIN(C38,D38)*E38/C38,0)</f>
        <v/>
      </c>
      <c r="G38" s="9" t="n"/>
    </row>
    <row r="39" ht="14.15" customHeight="1">
      <c r="A39" s="7" t="n">
        <v>24</v>
      </c>
      <c r="B39" s="8" t="inlineStr">
        <is>
          <t>VFDs-Variable Frequency Drives</t>
        </is>
      </c>
      <c r="C39" s="9" t="n">
        <v>10</v>
      </c>
      <c r="D39" s="9" t="n">
        <v>0</v>
      </c>
      <c r="E39" s="9" t="n">
        <v>7</v>
      </c>
      <c r="F39" s="9">
        <f>IFERROR(MIN(C39,D39)*E39/C39,0)</f>
        <v/>
      </c>
      <c r="G39" s="9" t="n"/>
    </row>
    <row r="40" ht="14.15" customHeight="1">
      <c r="A40" s="7" t="n">
        <v>25</v>
      </c>
      <c r="B40" s="8" t="inlineStr">
        <is>
          <t>Power supply</t>
        </is>
      </c>
      <c r="C40" s="9" t="n">
        <v>10</v>
      </c>
      <c r="D40" s="9" t="n">
        <v>0</v>
      </c>
      <c r="E40" s="9" t="n">
        <v>5</v>
      </c>
      <c r="F40" s="9">
        <f>IFERROR(MIN(C40,D40)*E40/C40,0)</f>
        <v/>
      </c>
      <c r="G40" s="9" t="n"/>
    </row>
    <row r="41" ht="14.15" customHeight="1">
      <c r="A41" s="7" t="n">
        <v>26</v>
      </c>
      <c r="B41" s="8" t="inlineStr">
        <is>
          <t>Automatic voltage stabilizer</t>
        </is>
      </c>
      <c r="C41" s="9" t="n">
        <v>1</v>
      </c>
      <c r="D41" s="9" t="n">
        <v>0</v>
      </c>
      <c r="E41" s="9" t="n">
        <v>5</v>
      </c>
      <c r="F41" s="9">
        <f>IFERROR(MIN(C41,D41)*E41/C41,0)</f>
        <v/>
      </c>
      <c r="G41" s="9" t="n"/>
    </row>
    <row r="42" ht="14.15" customHeight="1">
      <c r="A42" s="7" t="n">
        <v>27</v>
      </c>
      <c r="B42" s="8" t="inlineStr">
        <is>
          <t>Air compressor</t>
        </is>
      </c>
      <c r="C42" s="9" t="n">
        <v>1</v>
      </c>
      <c r="D42" s="9" t="n">
        <v>0</v>
      </c>
      <c r="E42" s="9" t="n">
        <v>6</v>
      </c>
      <c r="F42" s="9">
        <f>IFERROR(MIN(C42,D42)*E42/C42,0)</f>
        <v/>
      </c>
      <c r="G42" s="9" t="n"/>
    </row>
    <row r="43" ht="14.15" customHeight="1">
      <c r="A43" s="7" t="n">
        <v>28</v>
      </c>
      <c r="B43" s="8" t="inlineStr">
        <is>
          <t>Hydraulic power pack</t>
        </is>
      </c>
      <c r="C43" s="9" t="n">
        <v>1</v>
      </c>
      <c r="D43" s="9" t="n">
        <v>0</v>
      </c>
      <c r="E43" s="9" t="n">
        <v>6</v>
      </c>
      <c r="F43" s="9">
        <f>IFERROR(MIN(C43,D43)*E43/C43,0)</f>
        <v/>
      </c>
      <c r="G43" s="9" t="n"/>
    </row>
    <row r="44" ht="14.15" customHeight="1">
      <c r="A44" s="7" t="n">
        <v>29</v>
      </c>
      <c r="B44" s="8" t="inlineStr">
        <is>
          <t>Measuring devices set</t>
        </is>
      </c>
      <c r="C44" s="9" t="n">
        <v>1</v>
      </c>
      <c r="D44" s="9" t="n">
        <v>0</v>
      </c>
      <c r="E44" s="9" t="n">
        <v>5</v>
      </c>
      <c r="F44" s="9">
        <f>IFERROR(MIN(C44,D44)*E44/C44,0)</f>
        <v/>
      </c>
      <c r="G44" s="9" t="n"/>
    </row>
    <row r="45">
      <c r="A45" s="10" t="inlineStr">
        <is>
          <t>Sum</t>
        </is>
      </c>
      <c r="B45" s="11" t="n"/>
      <c r="C45" s="11" t="n"/>
      <c r="D45" s="12" t="n"/>
      <c r="E45" s="10">
        <f>SUM(E16:E44)</f>
        <v/>
      </c>
      <c r="F45" s="10">
        <f>SUM(F16:F44)</f>
        <v/>
      </c>
      <c r="G45" s="13" t="n"/>
    </row>
    <row r="46">
      <c r="A46" s="10" t="inlineStr">
        <is>
          <t>Score out of 100</t>
        </is>
      </c>
      <c r="B46" s="11" t="n"/>
      <c r="C46" s="11" t="n"/>
      <c r="D46" s="11" t="n"/>
      <c r="E46" s="12" t="n"/>
      <c r="F46" s="10">
        <f>F45/E45*100</f>
        <v/>
      </c>
      <c r="G46" s="13" t="n"/>
    </row>
    <row r="47" ht="9.75" customHeight="1"/>
    <row r="48">
      <c r="A48" s="10" t="inlineStr">
        <is>
          <t xml:space="preserve">Total achieved points out of 30  </t>
        </is>
      </c>
      <c r="B48" s="11" t="n"/>
      <c r="C48" s="11" t="n"/>
      <c r="D48" s="11" t="n"/>
      <c r="E48" s="12" t="n"/>
      <c r="F48" s="10">
        <f>F46*30/100</f>
        <v/>
      </c>
      <c r="G48" s="10" t="inlineStr">
        <is>
          <t>Points</t>
        </is>
      </c>
    </row>
  </sheetData>
  <mergeCells count="8">
    <mergeCell ref="A45:D45"/>
    <mergeCell ref="A13:G13"/>
    <mergeCell ref="C7:G7"/>
    <mergeCell ref="A1:G1"/>
    <mergeCell ref="A48:E48"/>
    <mergeCell ref="A46:E46"/>
    <mergeCell ref="C8:G8"/>
    <mergeCell ref="A47:G4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2026-09-09T07:07:32Z</dcterms:modified>
</cp:coreProperties>
</file>
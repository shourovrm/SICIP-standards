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arel Merchandising" sheetId="1" state="visible" r:id="rId1"/>
    <sheet xmlns:r="http://schemas.openxmlformats.org/officeDocument/2006/relationships" name="Advanced Garments Production" sheetId="2" state="visible" r:id="rId2"/>
    <sheet xmlns:r="http://schemas.openxmlformats.org/officeDocument/2006/relationships" name="Social &amp; Env Compliance RMG" sheetId="3" state="visible" r:id="rId3"/>
    <sheet xmlns:r="http://schemas.openxmlformats.org/officeDocument/2006/relationships" name="Trade &amp; Business Relations" sheetId="4" state="visible" r:id="rId4"/>
    <sheet xmlns:r="http://schemas.openxmlformats.org/officeDocument/2006/relationships" name="Production Planning &amp; SCM" sheetId="5" state="visible" r:id="rId5"/>
    <sheet xmlns:r="http://schemas.openxmlformats.org/officeDocument/2006/relationships" name="Quality Control for RMG" sheetId="6" state="visible" r:id="rId6"/>
    <sheet xmlns:r="http://schemas.openxmlformats.org/officeDocument/2006/relationships" name="Computerised Sweater Machine" sheetId="7" state="visible" r:id="rId7"/>
    <sheet xmlns:r="http://schemas.openxmlformats.org/officeDocument/2006/relationships" name="Advanced Sewing Machine Op" sheetId="8" state="visible" r:id="rId8"/>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Apparel Merchandising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Apparel Merchandising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Apparel Merchandising,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5</v>
      </c>
      <c r="D16" s="9" t="n"/>
      <c r="E16" s="9" t="n">
        <v>5</v>
      </c>
      <c r="F16" s="9">
        <f>IFERROR(MIN(C16,D16)*E16/C16,0)</f>
        <v/>
      </c>
      <c r="G16" s="9" t="n"/>
    </row>
    <row r="17" ht="14.15" customHeight="1">
      <c r="A17" s="7" t="n">
        <v>2</v>
      </c>
      <c r="B17" s="8" t="inlineStr">
        <is>
          <t>Internet connectivity</t>
        </is>
      </c>
      <c r="C17" s="9" t="n">
        <v>1</v>
      </c>
      <c r="D17" s="9" t="n"/>
      <c r="E17" s="9" t="n">
        <v>5</v>
      </c>
      <c r="F17" s="9">
        <f>IFERROR(MIN(C17,D17)*E17/C17,0)</f>
        <v/>
      </c>
      <c r="G17" s="9" t="n"/>
    </row>
    <row r="18" ht="14.15" customHeight="1">
      <c r="A18" s="7" t="n">
        <v>3</v>
      </c>
      <c r="B18" s="8" t="inlineStr">
        <is>
          <t>Multimedia projector &amp; screen</t>
        </is>
      </c>
      <c r="C18" s="9" t="n">
        <v>1</v>
      </c>
      <c r="D18" s="9" t="n"/>
      <c r="E18" s="9" t="n">
        <v>5</v>
      </c>
      <c r="F18" s="9">
        <f>IFERROR(MIN(C18,D18)*E18/C18,0)</f>
        <v/>
      </c>
      <c r="G18" s="9" t="n"/>
    </row>
    <row r="19" ht="14.15" customHeight="1">
      <c r="A19" s="7" t="n">
        <v>4</v>
      </c>
      <c r="B19" s="8" t="inlineStr">
        <is>
          <t>Fabric Swatches and Trims</t>
        </is>
      </c>
      <c r="C19" s="9" t="n">
        <v>25</v>
      </c>
      <c r="D19" s="9" t="n"/>
      <c r="E19" s="9" t="n">
        <v>8</v>
      </c>
      <c r="F19" s="9">
        <f>IFERROR(MIN(C19,D19)*E19/C19,0)</f>
        <v/>
      </c>
      <c r="G19" s="9" t="n"/>
    </row>
    <row r="20" ht="14.15" customHeight="1">
      <c r="A20" s="7" t="n">
        <v>5</v>
      </c>
      <c r="B20" s="8" t="inlineStr">
        <is>
          <t>Measurement tape</t>
        </is>
      </c>
      <c r="C20" s="9" t="n">
        <v>25</v>
      </c>
      <c r="D20" s="9" t="n"/>
      <c r="E20" s="9" t="n">
        <v>4</v>
      </c>
      <c r="F20" s="9">
        <f>IFERROR(MIN(C20,D20)*E20/C20,0)</f>
        <v/>
      </c>
      <c r="G20" s="9" t="n"/>
    </row>
    <row r="21" ht="14.15" customHeight="1">
      <c r="A21" s="7" t="n">
        <v>6</v>
      </c>
      <c r="B21" s="8" t="inlineStr">
        <is>
          <t>Garments sample (Knit, Woven and Sweater)</t>
        </is>
      </c>
      <c r="C21" s="9" t="n">
        <v>30</v>
      </c>
      <c r="D21" s="9" t="n"/>
      <c r="E21" s="9" t="n">
        <v>8</v>
      </c>
      <c r="F21" s="9">
        <f>IFERROR(MIN(C21,D21)*E21/C21,0)</f>
        <v/>
      </c>
      <c r="G21" s="9" t="n"/>
    </row>
    <row r="22" ht="14.15" customHeight="1">
      <c r="A22" s="7" t="n">
        <v>7</v>
      </c>
      <c r="B22" s="8" t="inlineStr">
        <is>
          <t>Mannequin doll (Child, male and female)</t>
        </is>
      </c>
      <c r="C22" s="9" t="n">
        <v>5</v>
      </c>
      <c r="D22" s="9" t="n"/>
      <c r="E22" s="9" t="n">
        <v>6</v>
      </c>
      <c r="F22" s="9">
        <f>IFERROR(MIN(C22,D22)*E22/C22,0)</f>
        <v/>
      </c>
      <c r="G22" s="9" t="n"/>
    </row>
    <row r="23" ht="14.15" customHeight="1">
      <c r="A23" s="7" t="n">
        <v>8</v>
      </c>
      <c r="B23" s="8" t="inlineStr">
        <is>
          <t>Working Table (Minimum 6 feet)</t>
        </is>
      </c>
      <c r="C23" s="9" t="n">
        <v>5</v>
      </c>
      <c r="D23" s="9" t="n"/>
      <c r="E23" s="9" t="n">
        <v>5</v>
      </c>
      <c r="F23" s="9">
        <f>IFERROR(MIN(C23,D23)*E23/C23,0)</f>
        <v/>
      </c>
      <c r="G23" s="9" t="n"/>
    </row>
    <row r="24" ht="14.15" customHeight="1">
      <c r="A24" s="7" t="n">
        <v>9</v>
      </c>
      <c r="B24" s="8" t="inlineStr">
        <is>
          <t>Counting glass/Pick glass</t>
        </is>
      </c>
      <c r="C24" s="9" t="n">
        <v>10</v>
      </c>
      <c r="D24" s="9" t="n"/>
      <c r="E24" s="9" t="n">
        <v>4</v>
      </c>
      <c r="F24" s="9">
        <f>IFERROR(MIN(C24,D24)*E24/C24,0)</f>
        <v/>
      </c>
      <c r="G24" s="9" t="n"/>
    </row>
    <row r="25" ht="14.15" customHeight="1">
      <c r="A25" s="7" t="n">
        <v>10</v>
      </c>
      <c r="B25" s="8" t="inlineStr">
        <is>
          <t>Weighing machine</t>
        </is>
      </c>
      <c r="C25" s="9" t="n">
        <v>2</v>
      </c>
      <c r="D25" s="9" t="n"/>
      <c r="E25" s="9" t="n">
        <v>6</v>
      </c>
      <c r="F25" s="9">
        <f>IFERROR(MIN(C25,D25)*E25/C25,0)</f>
        <v/>
      </c>
      <c r="G25" s="9" t="n"/>
    </row>
    <row r="26" ht="14.15" customHeight="1">
      <c r="A26" s="7" t="n">
        <v>11</v>
      </c>
      <c r="B26" s="8" t="inlineStr">
        <is>
          <t>GSM cutter and scale</t>
        </is>
      </c>
      <c r="C26" s="9" t="n">
        <v>2</v>
      </c>
      <c r="D26" s="9" t="n"/>
      <c r="E26" s="9" t="n">
        <v>6</v>
      </c>
      <c r="F26" s="9">
        <f>IFERROR(MIN(C26,D26)*E26/C26,0)</f>
        <v/>
      </c>
      <c r="G26" s="9" t="n"/>
    </row>
    <row r="27" ht="14.15" customHeight="1">
      <c r="A27" s="7" t="n">
        <v>12</v>
      </c>
      <c r="B27" s="8" t="inlineStr">
        <is>
          <t>Sample BOM sheet (Tech-pack)</t>
        </is>
      </c>
      <c r="C27" s="9" t="n">
        <v>10</v>
      </c>
      <c r="D27" s="9" t="n"/>
      <c r="E27" s="9" t="n">
        <v>3</v>
      </c>
      <c r="F27" s="9">
        <f>IFERROR(MIN(C27,D27)*E27/C27,0)</f>
        <v/>
      </c>
      <c r="G27" s="9" t="n"/>
    </row>
    <row r="28" ht="14.15" customHeight="1">
      <c r="A28" s="7" t="n">
        <v>13</v>
      </c>
      <c r="B28" s="8" t="inlineStr">
        <is>
          <t>Single needle lock stitch machine</t>
        </is>
      </c>
      <c r="C28" s="9" t="n">
        <v>1</v>
      </c>
      <c r="D28" s="9" t="n"/>
      <c r="E28" s="9" t="n">
        <v>9</v>
      </c>
      <c r="F28" s="9">
        <f>IFERROR(MIN(C28,D28)*E28/C28,0)</f>
        <v/>
      </c>
      <c r="G28" s="9" t="n"/>
    </row>
    <row r="29" ht="14.15" customHeight="1">
      <c r="A29" s="7" t="n">
        <v>14</v>
      </c>
      <c r="B29" s="8" t="inlineStr">
        <is>
          <t>Single needle chain stitch machine</t>
        </is>
      </c>
      <c r="C29" s="9" t="n">
        <v>1</v>
      </c>
      <c r="D29" s="9" t="n"/>
      <c r="E29" s="9" t="n">
        <v>9</v>
      </c>
      <c r="F29" s="9">
        <f>IFERROR(MIN(C29,D29)*E29/C29,0)</f>
        <v/>
      </c>
      <c r="G29" s="9" t="n"/>
    </row>
    <row r="30" ht="14.15" customHeight="1">
      <c r="A30" s="7" t="n">
        <v>15</v>
      </c>
      <c r="B30" s="8" t="inlineStr">
        <is>
          <t>Over lock machine</t>
        </is>
      </c>
      <c r="C30" s="9" t="n">
        <v>1</v>
      </c>
      <c r="D30" s="9" t="n"/>
      <c r="E30" s="9" t="n">
        <v>9</v>
      </c>
      <c r="F30" s="9">
        <f>IFERROR(MIN(C30,D30)*E30/C30,0)</f>
        <v/>
      </c>
      <c r="G30" s="9" t="n"/>
    </row>
    <row r="31" ht="14.15" customHeight="1">
      <c r="A31" s="7" t="n">
        <v>16</v>
      </c>
      <c r="B31" s="8" t="inlineStr">
        <is>
          <t>Flat lock machine</t>
        </is>
      </c>
      <c r="C31" s="9" t="n">
        <v>1</v>
      </c>
      <c r="D31" s="9" t="n"/>
      <c r="E31" s="9" t="n">
        <v>9</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Garments Production and Lean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Advanced Garments Production and Lean Management</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Garments Production and Lean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Single Needle Machine</t>
        </is>
      </c>
      <c r="C16" s="9" t="n">
        <v>2</v>
      </c>
      <c r="D16" s="9" t="n"/>
      <c r="E16" s="9" t="n">
        <v>9</v>
      </c>
      <c r="F16" s="9">
        <f>IFERROR(MIN(C16,D16)*E16/C16,0)</f>
        <v/>
      </c>
      <c r="G16" s="9" t="n"/>
    </row>
    <row r="17" ht="14.15" customHeight="1">
      <c r="A17" s="7" t="n">
        <v>2</v>
      </c>
      <c r="B17" s="8" t="inlineStr">
        <is>
          <t>Over Lock Machine</t>
        </is>
      </c>
      <c r="C17" s="9" t="n">
        <v>2</v>
      </c>
      <c r="D17" s="9" t="n"/>
      <c r="E17" s="9" t="n">
        <v>9</v>
      </c>
      <c r="F17" s="9">
        <f>IFERROR(MIN(C17,D17)*E17/C17,0)</f>
        <v/>
      </c>
      <c r="G17" s="9" t="n"/>
    </row>
    <row r="18" ht="14.15" customHeight="1">
      <c r="A18" s="7" t="n">
        <v>3</v>
      </c>
      <c r="B18" s="8" t="inlineStr">
        <is>
          <t>Flat Lock Machine</t>
        </is>
      </c>
      <c r="C18" s="9" t="n">
        <v>1</v>
      </c>
      <c r="D18" s="9" t="n"/>
      <c r="E18" s="9" t="n">
        <v>9</v>
      </c>
      <c r="F18" s="9">
        <f>IFERROR(MIN(C18,D18)*E18/C18,0)</f>
        <v/>
      </c>
      <c r="G18" s="9" t="n"/>
    </row>
    <row r="19" ht="14.15" customHeight="1">
      <c r="A19" s="7" t="n">
        <v>4</v>
      </c>
      <c r="B19" s="8" t="inlineStr">
        <is>
          <t>Double Needle Machine</t>
        </is>
      </c>
      <c r="C19" s="9" t="n">
        <v>1</v>
      </c>
      <c r="D19" s="9" t="n"/>
      <c r="E19" s="9" t="n">
        <v>8</v>
      </c>
      <c r="F19" s="9">
        <f>IFERROR(MIN(C19,D19)*E19/C19,0)</f>
        <v/>
      </c>
      <c r="G19" s="9" t="n"/>
    </row>
    <row r="20" ht="14.15" customHeight="1">
      <c r="A20" s="7" t="n">
        <v>5</v>
      </c>
      <c r="B20" s="8" t="inlineStr">
        <is>
          <t>Feed of the Arm Machine</t>
        </is>
      </c>
      <c r="C20" s="9" t="n">
        <v>1</v>
      </c>
      <c r="D20" s="9" t="n"/>
      <c r="E20" s="9" t="n">
        <v>8</v>
      </c>
      <c r="F20" s="9">
        <f>IFERROR(MIN(C20,D20)*E20/C20,0)</f>
        <v/>
      </c>
      <c r="G20" s="9" t="n"/>
    </row>
    <row r="21" ht="14.15" customHeight="1">
      <c r="A21" s="7" t="n">
        <v>6</v>
      </c>
      <c r="B21" s="8" t="inlineStr">
        <is>
          <t>Multi Needle Chain Stitch Machine</t>
        </is>
      </c>
      <c r="C21" s="9" t="n">
        <v>1</v>
      </c>
      <c r="D21" s="9" t="n"/>
      <c r="E21" s="9" t="n">
        <v>8</v>
      </c>
      <c r="F21" s="9">
        <f>IFERROR(MIN(C21,D21)*E21/C21,0)</f>
        <v/>
      </c>
      <c r="G21" s="9" t="n"/>
    </row>
    <row r="22" ht="14.15" customHeight="1">
      <c r="A22" s="7" t="n">
        <v>7</v>
      </c>
      <c r="B22" s="8" t="inlineStr">
        <is>
          <t>Button Stitch</t>
        </is>
      </c>
      <c r="C22" s="9" t="n">
        <v>1</v>
      </c>
      <c r="D22" s="9" t="n"/>
      <c r="E22" s="9" t="n">
        <v>7</v>
      </c>
      <c r="F22" s="9">
        <f>IFERROR(MIN(C22,D22)*E22/C22,0)</f>
        <v/>
      </c>
      <c r="G22" s="9" t="n"/>
    </row>
    <row r="23" ht="14.15" customHeight="1">
      <c r="A23" s="7" t="n">
        <v>8</v>
      </c>
      <c r="B23" s="8" t="inlineStr">
        <is>
          <t>Button Hole Machine</t>
        </is>
      </c>
      <c r="C23" s="9" t="n">
        <v>1</v>
      </c>
      <c r="D23" s="9" t="n"/>
      <c r="E23" s="9" t="n">
        <v>7</v>
      </c>
      <c r="F23" s="9">
        <f>IFERROR(MIN(C23,D23)*E23/C23,0)</f>
        <v/>
      </c>
      <c r="G23" s="9" t="n"/>
    </row>
    <row r="24" ht="14.15" customHeight="1">
      <c r="A24" s="7" t="n">
        <v>9</v>
      </c>
      <c r="B24" s="8" t="inlineStr">
        <is>
          <t>Eyelet Machine</t>
        </is>
      </c>
      <c r="C24" s="9" t="n">
        <v>1</v>
      </c>
      <c r="D24" s="9" t="n"/>
      <c r="E24" s="9" t="n">
        <v>7</v>
      </c>
      <c r="F24" s="9">
        <f>IFERROR(MIN(C24,D24)*E24/C24,0)</f>
        <v/>
      </c>
      <c r="G24" s="9" t="n"/>
    </row>
    <row r="25" ht="14.15" customHeight="1">
      <c r="A25" s="7" t="n">
        <v>10</v>
      </c>
      <c r="B25" s="8" t="inlineStr">
        <is>
          <t>Digital Video Camera</t>
        </is>
      </c>
      <c r="C25" s="9" t="n">
        <v>1</v>
      </c>
      <c r="D25" s="9" t="n"/>
      <c r="E25" s="9" t="n">
        <v>6</v>
      </c>
      <c r="F25" s="9">
        <f>IFERROR(MIN(C25,D25)*E25/C25,0)</f>
        <v/>
      </c>
      <c r="G25" s="9" t="n"/>
    </row>
    <row r="26" ht="14.15" customHeight="1">
      <c r="A26" s="7" t="n">
        <v>11</v>
      </c>
      <c r="B26" s="8" t="inlineStr">
        <is>
          <t>GSM Cutter</t>
        </is>
      </c>
      <c r="C26" s="9" t="n">
        <v>1</v>
      </c>
      <c r="D26" s="9" t="n"/>
      <c r="E26" s="9" t="n">
        <v>6</v>
      </c>
      <c r="F26" s="9">
        <f>IFERROR(MIN(C26,D26)*E26/C26,0)</f>
        <v/>
      </c>
      <c r="G26" s="9" t="n"/>
    </row>
    <row r="27" ht="14.15" customHeight="1">
      <c r="A27" s="7" t="n">
        <v>12</v>
      </c>
      <c r="B27" s="8" t="inlineStr">
        <is>
          <t>GSM Scale</t>
        </is>
      </c>
      <c r="C27" s="9" t="n">
        <v>1</v>
      </c>
      <c r="D27" s="9" t="n"/>
      <c r="E27" s="9" t="n">
        <v>6</v>
      </c>
      <c r="F27" s="9">
        <f>IFERROR(MIN(C27,D27)*E27/C27,0)</f>
        <v/>
      </c>
      <c r="G27" s="9" t="n"/>
    </row>
    <row r="28" ht="14.15" customHeight="1">
      <c r="A28" s="7" t="n">
        <v>13</v>
      </c>
      <c r="B28" s="8" t="inlineStr">
        <is>
          <t>Measuring Tape</t>
        </is>
      </c>
      <c r="C28" s="9" t="n">
        <v>25</v>
      </c>
      <c r="D28" s="9" t="n"/>
      <c r="E28" s="9" t="n">
        <v>4</v>
      </c>
      <c r="F28" s="9">
        <f>IFERROR(MIN(C28,D28)*E28/C28,0)</f>
        <v/>
      </c>
      <c r="G28" s="9" t="n"/>
    </row>
    <row r="29" ht="14.15" customHeight="1">
      <c r="A29" s="7" t="n">
        <v>14</v>
      </c>
      <c r="B29" s="8" t="inlineStr">
        <is>
          <t>Multimedia Projector with Screen</t>
        </is>
      </c>
      <c r="C29" s="9" t="n">
        <v>1</v>
      </c>
      <c r="D29" s="9" t="n"/>
      <c r="E29" s="9" t="n">
        <v>5</v>
      </c>
      <c r="F29" s="9">
        <f>IFERROR(MIN(C29,D29)*E29/C29,0)</f>
        <v/>
      </c>
      <c r="G29" s="9" t="n"/>
    </row>
    <row r="30" ht="14.15" customHeight="1">
      <c r="A30" s="7" t="n">
        <v>15</v>
      </c>
      <c r="B30" s="8" t="inlineStr">
        <is>
          <t>Stop Watch</t>
        </is>
      </c>
      <c r="C30" s="9" t="n">
        <v>25</v>
      </c>
      <c r="D30" s="9" t="n"/>
      <c r="E30" s="9" t="n">
        <v>6</v>
      </c>
      <c r="F30" s="9">
        <f>IFERROR(MIN(C30,D30)*E30/C30,0)</f>
        <v/>
      </c>
      <c r="G30" s="9" t="n"/>
    </row>
    <row r="31" ht="14.15" customHeight="1">
      <c r="A31" s="7" t="n">
        <v>16</v>
      </c>
      <c r="B31" s="8" t="inlineStr">
        <is>
          <t>Calculator</t>
        </is>
      </c>
      <c r="C31" s="9" t="n">
        <v>10</v>
      </c>
      <c r="D31" s="9" t="n"/>
      <c r="E31" s="9" t="n">
        <v>3</v>
      </c>
      <c r="F31" s="9">
        <f>IFERROR(MIN(C31,D31)*E31/C31,0)</f>
        <v/>
      </c>
      <c r="G31" s="9" t="n"/>
    </row>
    <row r="32" ht="14.15" customHeight="1">
      <c r="A32" s="7" t="n">
        <v>17</v>
      </c>
      <c r="B32" s="8" t="inlineStr">
        <is>
          <t>Desktop Computer/Laptop</t>
        </is>
      </c>
      <c r="C32" s="9" t="n">
        <v>5</v>
      </c>
      <c r="D32" s="9" t="n"/>
      <c r="E32" s="9" t="n">
        <v>5</v>
      </c>
      <c r="F32" s="9">
        <f>IFERROR(MIN(C32,D32)*E32/C32,0)</f>
        <v/>
      </c>
      <c r="G32" s="9" t="n"/>
    </row>
    <row r="33" ht="14.15" customHeight="1">
      <c r="A33" s="7" t="n">
        <v>18</v>
      </c>
      <c r="B33" s="8" t="inlineStr">
        <is>
          <t>Printer</t>
        </is>
      </c>
      <c r="C33" s="9" t="n">
        <v>1</v>
      </c>
      <c r="D33" s="9" t="n"/>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Social and Environmental Compliance for RMG</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row>
    <row r="8" ht="52.2" customHeight="1">
      <c r="B8" s="2" t="inlineStr">
        <is>
          <t>Social and Environmental Compliance for RMG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Social and Environmental Compliance for RMG,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Scanner</t>
        </is>
      </c>
      <c r="C18" s="9" t="n">
        <v>1</v>
      </c>
      <c r="D18" s="9" t="n"/>
      <c r="E18" s="9" t="n">
        <v>5</v>
      </c>
      <c r="F18" s="9">
        <f>IFERROR(MIN(C18,D18)*E18/C18,0)</f>
        <v/>
      </c>
      <c r="G18" s="9" t="n"/>
    </row>
    <row r="19" ht="14.15" customHeight="1">
      <c r="A19" s="7" t="n">
        <v>4</v>
      </c>
      <c r="B19" s="8" t="inlineStr">
        <is>
          <t>Printer</t>
        </is>
      </c>
      <c r="C19" s="9" t="n">
        <v>1</v>
      </c>
      <c r="D19" s="9" t="n"/>
      <c r="E19" s="9" t="n">
        <v>5</v>
      </c>
      <c r="F19" s="9">
        <f>IFERROR(MIN(C19,D19)*E19/C19,0)</f>
        <v/>
      </c>
      <c r="G19" s="9" t="n"/>
    </row>
    <row r="20" ht="14.15" customHeight="1">
      <c r="A20" s="7" t="n">
        <v>5</v>
      </c>
      <c r="B20" s="8" t="inlineStr">
        <is>
          <t>First Aid Box</t>
        </is>
      </c>
      <c r="C20" s="9" t="n">
        <v>5</v>
      </c>
      <c r="D20" s="9" t="n"/>
      <c r="E20" s="9" t="n">
        <v>5</v>
      </c>
      <c r="F20" s="9">
        <f>IFERROR(MIN(C20,D20)*E20/C20,0)</f>
        <v/>
      </c>
      <c r="G20" s="9" t="n"/>
    </row>
    <row r="21" ht="14.15" customHeight="1">
      <c r="A21" s="7" t="n">
        <v>6</v>
      </c>
      <c r="B21" s="8" t="inlineStr">
        <is>
          <t>Lux meter</t>
        </is>
      </c>
      <c r="C21" s="9" t="n">
        <v>5</v>
      </c>
      <c r="D21" s="9" t="n"/>
      <c r="E21" s="9" t="n">
        <v>6</v>
      </c>
      <c r="F21" s="9">
        <f>IFERROR(MIN(C21,D21)*E21/C21,0)</f>
        <v/>
      </c>
      <c r="G21" s="9" t="n"/>
    </row>
    <row r="22" ht="14.15" customHeight="1">
      <c r="A22" s="7" t="n">
        <v>7</v>
      </c>
      <c r="B22" s="8" t="inlineStr">
        <is>
          <t>Noise level meter</t>
        </is>
      </c>
      <c r="C22" s="9" t="n">
        <v>5</v>
      </c>
      <c r="D22" s="9" t="n"/>
      <c r="E22" s="9" t="n">
        <v>6</v>
      </c>
      <c r="F22" s="9">
        <f>IFERROR(MIN(C22,D22)*E22/C22,0)</f>
        <v/>
      </c>
      <c r="G22" s="9" t="n"/>
    </row>
    <row r="23" ht="14.15" customHeight="1">
      <c r="A23" s="7" t="n">
        <v>8</v>
      </c>
      <c r="B23" s="8" t="inlineStr">
        <is>
          <t>Fire Extinguisher (water, foam, CO2, powder)</t>
        </is>
      </c>
      <c r="C23" s="9" t="n">
        <v>5</v>
      </c>
      <c r="D23" s="9" t="n"/>
      <c r="E23" s="9" t="n">
        <v>7</v>
      </c>
      <c r="F23" s="9">
        <f>IFERROR(MIN(C23,D23)*E23/C23,0)</f>
        <v/>
      </c>
      <c r="G23" s="9" t="n"/>
    </row>
    <row r="24" ht="14.15" customHeight="1">
      <c r="A24" s="7" t="n">
        <v>9</v>
      </c>
      <c r="B24" s="8" t="inlineStr">
        <is>
          <t>Smoke or heat detector</t>
        </is>
      </c>
      <c r="C24" s="9" t="n">
        <v>5</v>
      </c>
      <c r="D24" s="9" t="n"/>
      <c r="E24" s="9" t="n">
        <v>6</v>
      </c>
      <c r="F24" s="9">
        <f>IFERROR(MIN(C24,D24)*E24/C24,0)</f>
        <v/>
      </c>
      <c r="G24" s="9" t="n"/>
    </row>
    <row r="25" ht="14.15" customHeight="1">
      <c r="A25" s="7" t="n">
        <v>10</v>
      </c>
      <c r="B25" s="8" t="inlineStr">
        <is>
          <t>Rubbermaid Recycling Bins</t>
        </is>
      </c>
      <c r="C25" s="9" t="n">
        <v>5</v>
      </c>
      <c r="D25" s="9" t="n"/>
      <c r="E25" s="9" t="n">
        <v>4</v>
      </c>
      <c r="F25" s="9">
        <f>IFERROR(MIN(C25,D25)*E25/C25,0)</f>
        <v/>
      </c>
      <c r="G25" s="9" t="n"/>
    </row>
    <row r="26" ht="14.15" customHeight="1">
      <c r="A26" s="7" t="n">
        <v>11</v>
      </c>
      <c r="B26" s="8" t="inlineStr">
        <is>
          <t>Water Testing Kits</t>
        </is>
      </c>
      <c r="C26" s="9" t="n">
        <v>5</v>
      </c>
      <c r="D26" s="9" t="n"/>
      <c r="E26" s="9" t="n">
        <v>7</v>
      </c>
      <c r="F26" s="9">
        <f>IFERROR(MIN(C26,D26)*E26/C26,0)</f>
        <v/>
      </c>
      <c r="G26" s="9" t="n"/>
    </row>
    <row r="27" ht="14.15" customHeight="1">
      <c r="A27" s="7" t="n">
        <v>12</v>
      </c>
      <c r="B27" s="8" t="inlineStr">
        <is>
          <t>Air Quality Testing Kits</t>
        </is>
      </c>
      <c r="C27" s="9" t="n">
        <v>5</v>
      </c>
      <c r="D27" s="9" t="n"/>
      <c r="E27" s="9" t="n">
        <v>7</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Trade and Business Relations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Trade and Business Relations Management</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Trade and Business Relations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c r="E16" s="9" t="n">
        <v>5</v>
      </c>
      <c r="F16" s="9">
        <f>IFERROR(MIN(C16,D16)*E16/C16,0)</f>
        <v/>
      </c>
      <c r="G16" s="9" t="n"/>
    </row>
    <row r="17" ht="14.15" customHeight="1">
      <c r="A17" s="7" t="n">
        <v>2</v>
      </c>
      <c r="B17" s="8" t="inlineStr">
        <is>
          <t>Internet connectivity</t>
        </is>
      </c>
      <c r="C17" s="9" t="n">
        <v>1</v>
      </c>
      <c r="D17" s="9" t="n"/>
      <c r="E17" s="9" t="n">
        <v>5</v>
      </c>
      <c r="F17" s="9">
        <f>IFERROR(MIN(C17,D17)*E17/C17,0)</f>
        <v/>
      </c>
      <c r="G17" s="9" t="n"/>
    </row>
    <row r="18" ht="14.15" customHeight="1">
      <c r="A18" s="7" t="n">
        <v>3</v>
      </c>
      <c r="B18" s="8" t="inlineStr">
        <is>
          <t>Multimedia projector &amp; screen</t>
        </is>
      </c>
      <c r="C18" s="9" t="n">
        <v>1</v>
      </c>
      <c r="D18" s="9" t="n"/>
      <c r="E18" s="9" t="n">
        <v>5</v>
      </c>
      <c r="F18" s="9">
        <f>IFERROR(MIN(C18,D18)*E18/C18,0)</f>
        <v/>
      </c>
      <c r="G18" s="9" t="n"/>
    </row>
    <row r="19" ht="14.15" customHeight="1">
      <c r="A19" s="7" t="n">
        <v>4</v>
      </c>
      <c r="B19" s="8" t="inlineStr">
        <is>
          <t>Microphone system (Wireless)</t>
        </is>
      </c>
      <c r="C19" s="9" t="n">
        <v>2</v>
      </c>
      <c r="D19" s="9" t="n"/>
      <c r="E19" s="9" t="n">
        <v>4</v>
      </c>
      <c r="F19" s="9">
        <f>IFERROR(MIN(C19,D19)*E19/C19,0)</f>
        <v/>
      </c>
      <c r="G19" s="9" t="n"/>
    </row>
    <row r="20" ht="14.15" customHeight="1">
      <c r="A20" s="7" t="n">
        <v>5</v>
      </c>
      <c r="B20" s="8" t="inlineStr">
        <is>
          <t>CRM Software</t>
        </is>
      </c>
      <c r="C20" s="9" t="n">
        <v>1</v>
      </c>
      <c r="D20" s="9" t="n"/>
      <c r="E20" s="9" t="n">
        <v>8</v>
      </c>
      <c r="F20" s="9">
        <f>IFERROR(MIN(C20,D20)*E20/C20,0)</f>
        <v/>
      </c>
      <c r="G20" s="9" t="n"/>
    </row>
    <row r="21" ht="14.15" customHeight="1">
      <c r="A21" s="7" t="n">
        <v>6</v>
      </c>
      <c r="B21" s="8" t="inlineStr">
        <is>
          <t>ERP Systems</t>
        </is>
      </c>
      <c r="C21" s="9" t="n">
        <v>1</v>
      </c>
      <c r="D21" s="9" t="n"/>
      <c r="E21" s="9" t="n">
        <v>8</v>
      </c>
      <c r="F21" s="9">
        <f>IFERROR(MIN(C21,D21)*E21/C21,0)</f>
        <v/>
      </c>
      <c r="G21" s="9" t="n"/>
    </row>
    <row r="22" ht="14.15" customHeight="1">
      <c r="A22" s="7" t="n">
        <v>7</v>
      </c>
      <c r="B22" s="8" t="inlineStr">
        <is>
          <t>Import/Export Documentation (Printed copy)</t>
        </is>
      </c>
      <c r="C22" s="9" t="n">
        <v>25</v>
      </c>
      <c r="D22" s="9" t="n"/>
      <c r="E22" s="9" t="n">
        <v>7</v>
      </c>
      <c r="F22" s="9">
        <f>IFERROR(MIN(C22,D22)*E22/C22,0)</f>
        <v/>
      </c>
      <c r="G22" s="9" t="n"/>
    </row>
    <row r="23" ht="14.15" customHeight="1">
      <c r="A23" s="7" t="n">
        <v>8</v>
      </c>
      <c r="B23" s="8" t="inlineStr">
        <is>
          <t>Tariff and HS Code Reference Book (First Schedule)</t>
        </is>
      </c>
      <c r="C23" s="9" t="n">
        <v>1</v>
      </c>
      <c r="D23" s="9" t="n"/>
      <c r="E23" s="9" t="n">
        <v>7</v>
      </c>
      <c r="F23" s="9">
        <f>IFERROR(MIN(C23,D23)*E23/C23,0)</f>
        <v/>
      </c>
      <c r="G23" s="9" t="n"/>
    </row>
    <row r="24" ht="14.15" customHeight="1">
      <c r="A24" s="7" t="n">
        <v>9</v>
      </c>
      <c r="B24" s="8" t="inlineStr">
        <is>
          <t>Logistics and Freight Management Software</t>
        </is>
      </c>
      <c r="C24" s="9" t="n">
        <v>1</v>
      </c>
      <c r="D24" s="9" t="n"/>
      <c r="E24" s="9" t="n">
        <v>8</v>
      </c>
      <c r="F24" s="9">
        <f>IFERROR(MIN(C24,D24)*E24/C24,0)</f>
        <v/>
      </c>
      <c r="G24" s="9" t="n"/>
    </row>
    <row r="25" ht="14.15" customHeight="1">
      <c r="A25" s="7" t="n">
        <v>10</v>
      </c>
      <c r="B25" s="8" t="inlineStr">
        <is>
          <t>Tech Packs and Specification Templates (Printed copy)</t>
        </is>
      </c>
      <c r="C25" s="9" t="n">
        <v>25</v>
      </c>
      <c r="D25" s="9" t="n"/>
      <c r="E25" s="9" t="n">
        <v>6</v>
      </c>
      <c r="F25" s="9">
        <f>IFERROR(MIN(C25,D25)*E25/C25,0)</f>
        <v/>
      </c>
      <c r="G25" s="9" t="n"/>
    </row>
    <row r="26" ht="14.15" customHeight="1">
      <c r="A26" s="7" t="n">
        <v>11</v>
      </c>
      <c r="B26" s="8" t="inlineStr">
        <is>
          <t>Order Tracking Boards</t>
        </is>
      </c>
      <c r="C26" s="9" t="n">
        <v>1</v>
      </c>
      <c r="D26" s="9" t="n"/>
      <c r="E26" s="9" t="n">
        <v>5</v>
      </c>
      <c r="F26" s="9">
        <f>IFERROR(MIN(C26,D26)*E26/C26,0)</f>
        <v/>
      </c>
      <c r="G26" s="9" t="n"/>
    </row>
    <row r="27" ht="14.15" customHeight="1">
      <c r="A27" s="7" t="n">
        <v>12</v>
      </c>
      <c r="B27" s="8" t="inlineStr">
        <is>
          <t>Garment Costing Software/Excel Templates</t>
        </is>
      </c>
      <c r="C27" s="9" t="n">
        <v>1</v>
      </c>
      <c r="D27" s="9" t="n"/>
      <c r="E27" s="9" t="n">
        <v>7</v>
      </c>
      <c r="F27" s="9">
        <f>IFERROR(MIN(C27,D27)*E27/C27,0)</f>
        <v/>
      </c>
      <c r="G27" s="9" t="n"/>
    </row>
    <row r="28" ht="14.15" customHeight="1">
      <c r="A28" s="7" t="n">
        <v>13</v>
      </c>
      <c r="B28" s="8" t="inlineStr">
        <is>
          <t>Buyer Audit Checklists and Compliance Templates (Printed Copy)</t>
        </is>
      </c>
      <c r="C28" s="9" t="n">
        <v>25</v>
      </c>
      <c r="D28" s="9" t="n"/>
      <c r="E28" s="9" t="n">
        <v>6</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Production Planning &amp; Supply Chain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Production Planning &amp; Supply Chain Management</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Production Planning &amp; Supply Chain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Desktop Computer with Planning software</t>
        </is>
      </c>
      <c r="C16" s="9" t="n">
        <v>25</v>
      </c>
      <c r="D16" s="9" t="n"/>
      <c r="E16" s="9" t="n">
        <v>8</v>
      </c>
      <c r="F16" s="9">
        <f>IFERROR(MIN(C16,D16)*E16/C16,0)</f>
        <v/>
      </c>
      <c r="G16" s="9" t="n"/>
    </row>
    <row r="17" ht="14.15" customHeight="1">
      <c r="A17" s="7" t="n">
        <v>2</v>
      </c>
      <c r="B17" s="8" t="inlineStr">
        <is>
          <t>Laptop</t>
        </is>
      </c>
      <c r="C17" s="9" t="n">
        <v>1</v>
      </c>
      <c r="D17" s="9" t="n"/>
      <c r="E17" s="9" t="n">
        <v>5</v>
      </c>
      <c r="F17" s="9">
        <f>IFERROR(MIN(C17,D17)*E17/C17,0)</f>
        <v/>
      </c>
      <c r="G17" s="9" t="n"/>
    </row>
    <row r="18" ht="14.15" customHeight="1">
      <c r="A18" s="7" t="n">
        <v>3</v>
      </c>
      <c r="B18" s="8" t="inlineStr">
        <is>
          <t>Different Garment Sample (Woven &amp; Knit)</t>
        </is>
      </c>
      <c r="C18" s="9" t="n">
        <v>30</v>
      </c>
      <c r="D18" s="9" t="n"/>
      <c r="E18" s="9" t="n">
        <v>6</v>
      </c>
      <c r="F18" s="9">
        <f>IFERROR(MIN(C18,D18)*E18/C18,0)</f>
        <v/>
      </c>
      <c r="G18" s="9" t="n"/>
    </row>
    <row r="19" ht="14.15" customHeight="1">
      <c r="A19" s="7" t="n">
        <v>4</v>
      </c>
      <c r="B19" s="8" t="inlineStr">
        <is>
          <t>Different Fabric Sample (Woven &amp; Knit)</t>
        </is>
      </c>
      <c r="C19" s="9" t="n">
        <v>30</v>
      </c>
      <c r="D19" s="9" t="n"/>
      <c r="E19" s="9" t="n">
        <v>6</v>
      </c>
      <c r="F19" s="9">
        <f>IFERROR(MIN(C19,D19)*E19/C19,0)</f>
        <v/>
      </c>
      <c r="G19" s="9" t="n"/>
    </row>
    <row r="20" ht="14.15" customHeight="1">
      <c r="A20" s="7" t="n">
        <v>5</v>
      </c>
      <c r="B20" s="8" t="inlineStr">
        <is>
          <t>Display Board</t>
        </is>
      </c>
      <c r="C20" s="9" t="n">
        <v>2</v>
      </c>
      <c r="D20" s="9" t="n"/>
      <c r="E20" s="9" t="n">
        <v>4</v>
      </c>
      <c r="F20" s="9">
        <f>IFERROR(MIN(C20,D20)*E20/C20,0)</f>
        <v/>
      </c>
      <c r="G20" s="9" t="n"/>
    </row>
    <row r="21" ht="14.15" customHeight="1">
      <c r="A21" s="7" t="n">
        <v>6</v>
      </c>
      <c r="B21" s="8" t="inlineStr">
        <is>
          <t>Single needle lock stitch machine</t>
        </is>
      </c>
      <c r="C21" s="9" t="n">
        <v>1</v>
      </c>
      <c r="D21" s="9" t="n"/>
      <c r="E21" s="9" t="n">
        <v>7</v>
      </c>
      <c r="F21" s="9">
        <f>IFERROR(MIN(C21,D21)*E21/C21,0)</f>
        <v/>
      </c>
      <c r="G21" s="9" t="n"/>
    </row>
    <row r="22" ht="14.15" customHeight="1">
      <c r="A22" s="7" t="n">
        <v>7</v>
      </c>
      <c r="B22" s="8" t="inlineStr">
        <is>
          <t>Over lock machine</t>
        </is>
      </c>
      <c r="C22" s="9" t="n">
        <v>1</v>
      </c>
      <c r="D22" s="9" t="n"/>
      <c r="E22" s="9" t="n">
        <v>7</v>
      </c>
      <c r="F22" s="9">
        <f>IFERROR(MIN(C22,D22)*E22/C22,0)</f>
        <v/>
      </c>
      <c r="G22" s="9" t="n"/>
    </row>
    <row r="23" ht="14.15" customHeight="1">
      <c r="A23" s="7" t="n">
        <v>8</v>
      </c>
      <c r="B23" s="8" t="inlineStr">
        <is>
          <t>Flat lock machine</t>
        </is>
      </c>
      <c r="C23" s="9" t="n">
        <v>1</v>
      </c>
      <c r="D23" s="9" t="n"/>
      <c r="E23" s="9" t="n">
        <v>7</v>
      </c>
      <c r="F23" s="9">
        <f>IFERROR(MIN(C23,D23)*E23/C23,0)</f>
        <v/>
      </c>
      <c r="G23" s="9" t="n"/>
    </row>
    <row r="24" ht="14.15" customHeight="1">
      <c r="A24" s="7" t="n">
        <v>9</v>
      </c>
      <c r="B24" s="8" t="inlineStr">
        <is>
          <t>Multimedia projector screen</t>
        </is>
      </c>
      <c r="C24" s="9" t="n">
        <v>1</v>
      </c>
      <c r="D24" s="9" t="n"/>
      <c r="E24" s="9" t="n">
        <v>5</v>
      </c>
      <c r="F24" s="9">
        <f>IFERROR(MIN(C24,D24)*E24/C24,0)</f>
        <v/>
      </c>
      <c r="G24" s="9" t="n"/>
    </row>
    <row r="25" ht="14.15" customHeight="1">
      <c r="A25" s="7" t="n">
        <v>10</v>
      </c>
      <c r="B25" s="8" t="inlineStr">
        <is>
          <t>Scanner</t>
        </is>
      </c>
      <c r="C25" s="9" t="n">
        <v>1</v>
      </c>
      <c r="D25" s="9" t="n"/>
      <c r="E25" s="9" t="n">
        <v>4</v>
      </c>
      <c r="F25" s="9">
        <f>IFERROR(MIN(C25,D25)*E25/C25,0)</f>
        <v/>
      </c>
      <c r="G25" s="9" t="n"/>
    </row>
    <row r="26" ht="14.15" customHeight="1">
      <c r="A26" s="7" t="n">
        <v>11</v>
      </c>
      <c r="B26" s="8" t="inlineStr">
        <is>
          <t>Printer</t>
        </is>
      </c>
      <c r="C26" s="9" t="n">
        <v>1</v>
      </c>
      <c r="D26" s="9" t="n"/>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for RMG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Quality Control for RMG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for RMG,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c r="E19" s="9" t="n">
        <v>6</v>
      </c>
      <c r="F19" s="9">
        <f>IFERROR(MIN(C19,D19)*E19/C19,0)</f>
        <v/>
      </c>
      <c r="G19" s="9" t="n"/>
    </row>
    <row r="20" ht="14.15" customHeight="1">
      <c r="A20" s="7" t="n">
        <v>5</v>
      </c>
      <c r="B20" s="8" t="inlineStr">
        <is>
          <t>Fabric defect samples (yarn defects, weaving/knit defects, dyeing/printing/finishing defects)</t>
        </is>
      </c>
      <c r="C20" s="9" t="n">
        <v>20</v>
      </c>
      <c r="D20" s="9" t="n"/>
      <c r="E20" s="9" t="n">
        <v>7</v>
      </c>
      <c r="F20" s="9">
        <f>IFERROR(MIN(C20,D20)*E20/C20,0)</f>
        <v/>
      </c>
      <c r="G20" s="9" t="n"/>
    </row>
    <row r="21" ht="14.15" customHeight="1">
      <c r="A21" s="7" t="n">
        <v>6</v>
      </c>
      <c r="B21" s="8" t="inlineStr">
        <is>
          <t>Samples of different embellishments defect (prints, embroidery)</t>
        </is>
      </c>
      <c r="C21" s="9" t="n">
        <v>20</v>
      </c>
      <c r="D21" s="9" t="n"/>
      <c r="E21" s="9" t="n">
        <v>7</v>
      </c>
      <c r="F21" s="9">
        <f>IFERROR(MIN(C21,D21)*E21/C21,0)</f>
        <v/>
      </c>
      <c r="G21" s="9" t="n"/>
    </row>
    <row r="22" ht="14.15" customHeight="1">
      <c r="A22" s="7" t="n">
        <v>7</v>
      </c>
      <c r="B22" s="8" t="inlineStr">
        <is>
          <t>Samples of garment defects</t>
        </is>
      </c>
      <c r="C22" s="9" t="n">
        <v>20</v>
      </c>
      <c r="D22" s="9" t="n"/>
      <c r="E22" s="9" t="n">
        <v>7</v>
      </c>
      <c r="F22" s="9">
        <f>IFERROR(MIN(C22,D22)*E22/C22,0)</f>
        <v/>
      </c>
      <c r="G22" s="9" t="n"/>
    </row>
    <row r="23" ht="14.15" customHeight="1">
      <c r="A23" s="7" t="n">
        <v>8</v>
      </c>
      <c r="B23" s="8" t="inlineStr">
        <is>
          <t>Garments Inspection Table with Lighting System</t>
        </is>
      </c>
      <c r="C23" s="9" t="n">
        <v>2</v>
      </c>
      <c r="D23" s="9" t="n"/>
      <c r="E23" s="9" t="n">
        <v>8</v>
      </c>
      <c r="F23" s="9">
        <f>IFERROR(MIN(C23,D23)*E23/C23,0)</f>
        <v/>
      </c>
      <c r="G23" s="9" t="n"/>
    </row>
    <row r="24" ht="14.15" customHeight="1">
      <c r="A24" s="7" t="n">
        <v>9</v>
      </c>
      <c r="B24" s="8" t="inlineStr">
        <is>
          <t>Fabric Inspection Table with Lighting System (min. 6 feet)</t>
        </is>
      </c>
      <c r="C24" s="9" t="n">
        <v>2</v>
      </c>
      <c r="D24" s="9" t="n"/>
      <c r="E24" s="9" t="n">
        <v>8</v>
      </c>
      <c r="F24" s="9">
        <f>IFERROR(MIN(C24,D24)*E24/C24,0)</f>
        <v/>
      </c>
      <c r="G24" s="9" t="n"/>
    </row>
    <row r="25" ht="14.15" customHeight="1">
      <c r="A25" s="7" t="n">
        <v>10</v>
      </c>
      <c r="B25" s="8" t="inlineStr">
        <is>
          <t>Fabric Inspection Machine</t>
        </is>
      </c>
      <c r="C25" s="9" t="n">
        <v>1</v>
      </c>
      <c r="D25" s="9" t="n"/>
      <c r="E25" s="9" t="n">
        <v>9</v>
      </c>
      <c r="F25" s="9">
        <f>IFERROR(MIN(C25,D25)*E25/C25,0)</f>
        <v/>
      </c>
      <c r="G25" s="9" t="n"/>
    </row>
    <row r="26" ht="14.15" customHeight="1">
      <c r="A26" s="7" t="n">
        <v>11</v>
      </c>
      <c r="B26" s="8" t="inlineStr">
        <is>
          <t>Tensile testers for fabric strength testing</t>
        </is>
      </c>
      <c r="C26" s="9" t="n">
        <v>1</v>
      </c>
      <c r="D26" s="9" t="n"/>
      <c r="E26" s="9" t="n">
        <v>9</v>
      </c>
      <c r="F26" s="9">
        <f>IFERROR(MIN(C26,D26)*E26/C26,0)</f>
        <v/>
      </c>
      <c r="G26" s="9" t="n"/>
    </row>
    <row r="27" ht="14.15" customHeight="1">
      <c r="A27" s="7" t="n">
        <v>12</v>
      </c>
      <c r="B27" s="8" t="inlineStr">
        <is>
          <t>Pilling testers for fabric surface quality evaluation</t>
        </is>
      </c>
      <c r="C27" s="9" t="n">
        <v>1</v>
      </c>
      <c r="D27" s="9" t="n"/>
      <c r="E27" s="9" t="n">
        <v>9</v>
      </c>
      <c r="F27" s="9">
        <f>IFERROR(MIN(C27,D27)*E27/C27,0)</f>
        <v/>
      </c>
      <c r="G27" s="9" t="n"/>
    </row>
    <row r="28" ht="14.15" customHeight="1">
      <c r="A28" s="7" t="n">
        <v>13</v>
      </c>
      <c r="B28" s="8" t="inlineStr">
        <is>
          <t>Abrasion testers for wear and tear simulation</t>
        </is>
      </c>
      <c r="C28" s="9" t="n">
        <v>1</v>
      </c>
      <c r="D28" s="9" t="n"/>
      <c r="E28" s="9" t="n">
        <v>9</v>
      </c>
      <c r="F28" s="9">
        <f>IFERROR(MIN(C28,D28)*E28/C28,0)</f>
        <v/>
      </c>
      <c r="G28" s="9" t="n"/>
    </row>
    <row r="29" ht="14.15" customHeight="1">
      <c r="A29" s="7" t="n">
        <v>14</v>
      </c>
      <c r="B29" s="8" t="inlineStr">
        <is>
          <t>Colour fastness testers for colour durability assessment</t>
        </is>
      </c>
      <c r="C29" s="9" t="n">
        <v>1</v>
      </c>
      <c r="D29" s="9" t="n"/>
      <c r="E29" s="9" t="n">
        <v>9</v>
      </c>
      <c r="F29" s="9">
        <f>IFERROR(MIN(C29,D29)*E29/C29,0)</f>
        <v/>
      </c>
      <c r="G29" s="9" t="n"/>
    </row>
    <row r="30" ht="14.15" customHeight="1">
      <c r="A30" s="7" t="n">
        <v>15</v>
      </c>
      <c r="B30" s="8" t="inlineStr">
        <is>
          <t>Gray scale</t>
        </is>
      </c>
      <c r="C30" s="9" t="n">
        <v>6</v>
      </c>
      <c r="D30" s="9" t="n"/>
      <c r="E30" s="9" t="n">
        <v>6</v>
      </c>
      <c r="F30" s="9">
        <f>IFERROR(MIN(C30,D30)*E30/C30,0)</f>
        <v/>
      </c>
      <c r="G30" s="9" t="n"/>
    </row>
    <row r="31" ht="14.15" customHeight="1">
      <c r="A31" s="7" t="n">
        <v>16</v>
      </c>
      <c r="B31" s="8" t="inlineStr">
        <is>
          <t>Measurement tape</t>
        </is>
      </c>
      <c r="C31" s="9" t="n">
        <v>26</v>
      </c>
      <c r="D31" s="9" t="n"/>
      <c r="E31" s="9" t="n">
        <v>4</v>
      </c>
      <c r="F31" s="9">
        <f>IFERROR(MIN(C31,D31)*E31/C31,0)</f>
        <v/>
      </c>
      <c r="G31" s="9" t="n"/>
    </row>
    <row r="32" ht="14.15" customHeight="1">
      <c r="A32" s="7" t="n">
        <v>17</v>
      </c>
      <c r="B32" s="8" t="inlineStr">
        <is>
          <t>Light Box</t>
        </is>
      </c>
      <c r="C32" s="9" t="n">
        <v>1</v>
      </c>
      <c r="D32" s="9" t="n"/>
      <c r="E32" s="9" t="n">
        <v>7</v>
      </c>
      <c r="F32" s="9">
        <f>IFERROR(MIN(C32,D32)*E32/C32,0)</f>
        <v/>
      </c>
      <c r="G32" s="9" t="n"/>
    </row>
    <row r="33" ht="14.15" customHeight="1">
      <c r="A33" s="7" t="n">
        <v>18</v>
      </c>
      <c r="B33" s="8" t="inlineStr">
        <is>
          <t>GSM Cutter</t>
        </is>
      </c>
      <c r="C33" s="9" t="n">
        <v>2</v>
      </c>
      <c r="D33" s="9" t="n"/>
      <c r="E33" s="9" t="n">
        <v>6</v>
      </c>
      <c r="F33" s="9">
        <f>IFERROR(MIN(C33,D33)*E33/C33,0)</f>
        <v/>
      </c>
      <c r="G33" s="9" t="n"/>
    </row>
    <row r="34" ht="14.15" customHeight="1">
      <c r="A34" s="7" t="n">
        <v>19</v>
      </c>
      <c r="B34" s="8" t="inlineStr">
        <is>
          <t>Button Pull Test Machine</t>
        </is>
      </c>
      <c r="C34" s="9" t="n">
        <v>1</v>
      </c>
      <c r="D34" s="9" t="n"/>
      <c r="E34" s="9" t="n">
        <v>8</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Computerised Sweater Machine Operation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row>
    <row r="8" ht="52.2" customHeight="1">
      <c r="B8" s="2" t="inlineStr">
        <is>
          <t>Computerised Sweater Machine Operation</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Computerised Sweater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Scanner</t>
        </is>
      </c>
      <c r="C19" s="9" t="n">
        <v>1</v>
      </c>
      <c r="D19" s="9" t="n"/>
      <c r="E19" s="9" t="n">
        <v>4</v>
      </c>
      <c r="F19" s="9">
        <f>IFERROR(MIN(C19,D19)*E19/C19,0)</f>
        <v/>
      </c>
      <c r="G19" s="9" t="n"/>
    </row>
    <row r="20" ht="14.15" customHeight="1">
      <c r="A20" s="7" t="n">
        <v>5</v>
      </c>
      <c r="B20" s="8" t="inlineStr">
        <is>
          <t>Printer</t>
        </is>
      </c>
      <c r="C20" s="9" t="n">
        <v>1</v>
      </c>
      <c r="D20" s="9" t="n"/>
      <c r="E20" s="9" t="n">
        <v>4</v>
      </c>
      <c r="F20" s="9">
        <f>IFERROR(MIN(C20,D20)*E20/C20,0)</f>
        <v/>
      </c>
      <c r="G20" s="9" t="n"/>
    </row>
    <row r="21" ht="14.15" customHeight="1">
      <c r="A21" s="7" t="n">
        <v>6</v>
      </c>
      <c r="B21" s="8" t="inlineStr">
        <is>
          <t>White board</t>
        </is>
      </c>
      <c r="C21" s="9" t="n">
        <v>1</v>
      </c>
      <c r="D21" s="9" t="n"/>
      <c r="E21" s="9" t="n">
        <v>4</v>
      </c>
      <c r="F21" s="9">
        <f>IFERROR(MIN(C21,D21)*E21/C21,0)</f>
        <v/>
      </c>
      <c r="G21" s="9" t="n"/>
    </row>
    <row r="22" ht="14.15" customHeight="1">
      <c r="A22" s="7" t="n">
        <v>7</v>
      </c>
      <c r="B22" s="8" t="inlineStr">
        <is>
          <t>Weighing Scale</t>
        </is>
      </c>
      <c r="C22" s="9" t="n">
        <v>1</v>
      </c>
      <c r="D22" s="9" t="n"/>
      <c r="E22" s="9" t="n">
        <v>5</v>
      </c>
      <c r="F22" s="9">
        <f>IFERROR(MIN(C22,D22)*E22/C22,0)</f>
        <v/>
      </c>
      <c r="G22" s="9" t="n"/>
    </row>
    <row r="23" ht="14.15" customHeight="1">
      <c r="A23" s="7" t="n">
        <v>8</v>
      </c>
      <c r="B23" s="8" t="inlineStr">
        <is>
          <t>Jacquard Machine (minimum)</t>
        </is>
      </c>
      <c r="C23" s="9" t="n">
        <v>10</v>
      </c>
      <c r="D23" s="9" t="n"/>
      <c r="E23" s="9" t="n">
        <v>10</v>
      </c>
      <c r="F23" s="9">
        <f>IFERROR(MIN(C23,D23)*E23/C23,0)</f>
        <v/>
      </c>
      <c r="G23" s="9" t="n"/>
    </row>
    <row r="24" ht="14.15" customHeight="1">
      <c r="A24" s="7" t="n">
        <v>9</v>
      </c>
      <c r="B24" s="8" t="inlineStr">
        <is>
          <t>Wooden working table (5’ x 3’)</t>
        </is>
      </c>
      <c r="C24" s="9" t="n">
        <v>2</v>
      </c>
      <c r="D24" s="9" t="n"/>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 (Multi Skills)</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row>
    <row r="8" ht="52.2" customHeight="1">
      <c r="B8" s="2" t="inlineStr">
        <is>
          <t>Advanced Sewing Machine Operation (Multi Skills)</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(Multi Skills),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Single Needle Lock Stitch Machine</t>
        </is>
      </c>
      <c r="C18" s="9" t="n">
        <v>30</v>
      </c>
      <c r="D18" s="9" t="n"/>
      <c r="E18" s="9" t="n">
        <v>9</v>
      </c>
      <c r="F18" s="9">
        <f>IFERROR(MIN(C18,D18)*E18/C18,0)</f>
        <v/>
      </c>
      <c r="G18" s="9" t="n"/>
    </row>
    <row r="19" ht="14.15" customHeight="1">
      <c r="A19" s="7" t="n">
        <v>4</v>
      </c>
      <c r="B19" s="8" t="inlineStr">
        <is>
          <t>Overlock Machine</t>
        </is>
      </c>
      <c r="C19" s="9" t="n">
        <v>5</v>
      </c>
      <c r="D19" s="9" t="n"/>
      <c r="E19" s="9" t="n">
        <v>9</v>
      </c>
      <c r="F19" s="9">
        <f>IFERROR(MIN(C19,D19)*E19/C19,0)</f>
        <v/>
      </c>
      <c r="G19" s="9" t="n"/>
    </row>
    <row r="20" ht="14.15" customHeight="1">
      <c r="A20" s="7" t="n">
        <v>5</v>
      </c>
      <c r="B20" s="8" t="inlineStr">
        <is>
          <t>Flat Lock Machine Operation</t>
        </is>
      </c>
      <c r="C20" s="9" t="n">
        <v>2</v>
      </c>
      <c r="D20" s="9" t="n"/>
      <c r="E20" s="9" t="n">
        <v>9</v>
      </c>
      <c r="F20" s="9">
        <f>IFERROR(MIN(C20,D20)*E20/C20,0)</f>
        <v/>
      </c>
      <c r="G20" s="9" t="n"/>
    </row>
    <row r="21" ht="14.15" customHeight="1">
      <c r="A21" s="7" t="n">
        <v>6</v>
      </c>
      <c r="B21" s="8" t="inlineStr">
        <is>
          <t>Double Needle Lock Stitch Machine</t>
        </is>
      </c>
      <c r="C21" s="9" t="n">
        <v>2</v>
      </c>
      <c r="D21" s="9" t="n"/>
      <c r="E21" s="9" t="n">
        <v>8</v>
      </c>
      <c r="F21" s="9">
        <f>IFERROR(MIN(C21,D21)*E21/C21,0)</f>
        <v/>
      </c>
      <c r="G21" s="9" t="n"/>
    </row>
    <row r="22" ht="14.15" customHeight="1">
      <c r="A22" s="7" t="n">
        <v>7</v>
      </c>
      <c r="B22" s="8" t="inlineStr">
        <is>
          <t>Feed of the Arm Machine</t>
        </is>
      </c>
      <c r="C22" s="9" t="n">
        <v>2</v>
      </c>
      <c r="D22" s="9" t="n"/>
      <c r="E22" s="9" t="n">
        <v>8</v>
      </c>
      <c r="F22" s="9">
        <f>IFERROR(MIN(C22,D22)*E22/C22,0)</f>
        <v/>
      </c>
      <c r="G22" s="9" t="n"/>
    </row>
    <row r="23" ht="14.15" customHeight="1">
      <c r="A23" s="7" t="n">
        <v>8</v>
      </c>
      <c r="B23" s="8" t="inlineStr">
        <is>
          <t>Multi Needle Chain Stitch Machine</t>
        </is>
      </c>
      <c r="C23" s="9" t="n">
        <v>3</v>
      </c>
      <c r="D23" s="9" t="n"/>
      <c r="E23" s="9" t="n">
        <v>8</v>
      </c>
      <c r="F23" s="9">
        <f>IFERROR(MIN(C23,D23)*E23/C23,0)</f>
        <v/>
      </c>
      <c r="G23" s="9" t="n"/>
    </row>
    <row r="24" ht="14.15" customHeight="1">
      <c r="A24" s="7" t="n">
        <v>9</v>
      </c>
      <c r="B24" s="8" t="inlineStr">
        <is>
          <t>Single Needle Chain Stitch Machine</t>
        </is>
      </c>
      <c r="C24" s="9" t="n">
        <v>2</v>
      </c>
      <c r="D24" s="9" t="n"/>
      <c r="E24" s="9" t="n">
        <v>8</v>
      </c>
      <c r="F24" s="9">
        <f>IFERROR(MIN(C24,D24)*E24/C24,0)</f>
        <v/>
      </c>
      <c r="G24" s="9" t="n"/>
    </row>
    <row r="25" ht="14.15" customHeight="1">
      <c r="A25" s="7" t="n">
        <v>10</v>
      </c>
      <c r="B25" s="8" t="inlineStr">
        <is>
          <t>Bar Tack Machine</t>
        </is>
      </c>
      <c r="C25" s="9" t="n">
        <v>2</v>
      </c>
      <c r="D25" s="9" t="n"/>
      <c r="E25" s="9" t="n">
        <v>8</v>
      </c>
      <c r="F25" s="9">
        <f>IFERROR(MIN(C25,D25)*E25/C25,0)</f>
        <v/>
      </c>
      <c r="G25" s="9" t="n"/>
    </row>
    <row r="26" ht="14.15" customHeight="1">
      <c r="A26" s="7" t="n">
        <v>11</v>
      </c>
      <c r="B26" s="8" t="inlineStr">
        <is>
          <t>Auto Pocket Welting (APW)</t>
        </is>
      </c>
      <c r="C26" s="9" t="n">
        <v>1</v>
      </c>
      <c r="D26" s="9" t="n"/>
      <c r="E26" s="9" t="n">
        <v>8</v>
      </c>
      <c r="F26" s="9">
        <f>IFERROR(MIN(C26,D26)*E26/C26,0)</f>
        <v/>
      </c>
      <c r="G26" s="9" t="n"/>
    </row>
    <row r="27" ht="14.15" customHeight="1">
      <c r="A27" s="7" t="n">
        <v>12</v>
      </c>
      <c r="B27" s="8" t="inlineStr">
        <is>
          <t>Quality check table (Min.  5 Feet)</t>
        </is>
      </c>
      <c r="C27" s="9" t="n">
        <v>2</v>
      </c>
      <c r="D27" s="9" t="n"/>
      <c r="E27" s="9" t="n">
        <v>6</v>
      </c>
      <c r="F27" s="9">
        <f>IFERROR(MIN(C27,D27)*E27/C27,0)</f>
        <v/>
      </c>
      <c r="G27" s="9" t="n"/>
    </row>
    <row r="28" ht="14.15" customHeight="1">
      <c r="A28" s="7" t="n">
        <v>13</v>
      </c>
      <c r="B28" s="8" t="inlineStr">
        <is>
          <t>Iron Set</t>
        </is>
      </c>
      <c r="C28" s="9" t="n">
        <v>2</v>
      </c>
      <c r="D28" s="9" t="n"/>
      <c r="E28" s="9" t="n">
        <v>6</v>
      </c>
      <c r="F28" s="9">
        <f>IFERROR(MIN(C28,D28)*E28/C28,0)</f>
        <v/>
      </c>
      <c r="G28" s="9" t="n"/>
    </row>
    <row r="29" ht="14.15" customHeight="1">
      <c r="A29" s="7" t="n">
        <v>14</v>
      </c>
      <c r="B29" s="8" t="inlineStr">
        <is>
          <t>Iron Table</t>
        </is>
      </c>
      <c r="C29" s="9" t="n">
        <v>2</v>
      </c>
      <c r="D29" s="9" t="n"/>
      <c r="E29" s="9" t="n">
        <v>6</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2026-08-17T07:23:46Z</dcterms:modified>
</cp:coreProperties>
</file>
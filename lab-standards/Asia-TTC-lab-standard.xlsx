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TTC-Elec Terminator" sheetId="1" state="visible" r:id="rId1"/>
    <sheet xmlns:r="http://schemas.openxmlformats.org/officeDocument/2006/relationships" name="ATTC-Building Electrif" sheetId="2" state="visible" r:id="rId2"/>
    <sheet xmlns:r="http://schemas.openxmlformats.org/officeDocument/2006/relationships" name="ATTC-TIG MIG Welding" sheetId="3" state="visible" r:id="rId3"/>
    <sheet xmlns:r="http://schemas.openxmlformats.org/officeDocument/2006/relationships" name="ATTC-Adv Masonry" sheetId="4" state="visible" r:id="rId4"/>
    <sheet xmlns:r="http://schemas.openxmlformats.org/officeDocument/2006/relationships" name="ATTC-Plumbing Pipe Fit"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Terminator and Fitter</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Electrical Terminator and Fitter</t>
        </is>
      </c>
      <c r="C8" s="4" t="inlineStr">
        <is>
          <t>Classroom – 350 sft 
Workshop/ lab – 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Terminator and Fitter,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Wiring Board</t>
        </is>
      </c>
      <c r="C18" s="9" t="n">
        <v>20</v>
      </c>
      <c r="D18" s="9" t="n"/>
      <c r="E18" s="9" t="n">
        <v>9</v>
      </c>
      <c r="F18" s="9">
        <f>IFERROR(MIN(C18,D18)*E18/C18,0)</f>
        <v/>
      </c>
      <c r="G18" s="9" t="n"/>
    </row>
    <row r="19" ht="14.15" customHeight="1">
      <c r="A19" s="7" t="n">
        <v>4</v>
      </c>
      <c r="B19" s="8" t="inlineStr">
        <is>
          <t>Main Distribution Board with busbar, CB and other accessories (Training model)</t>
        </is>
      </c>
      <c r="C19" s="9" t="n">
        <v>1</v>
      </c>
      <c r="D19" s="9" t="n"/>
      <c r="E19" s="9" t="n">
        <v>8</v>
      </c>
      <c r="F19" s="9">
        <f>IFERROR(MIN(C19,D19)*E19/C19,0)</f>
        <v/>
      </c>
      <c r="G19" s="9" t="n"/>
    </row>
    <row r="20" ht="14.15" customHeight="1">
      <c r="A20" s="7" t="n">
        <v>5</v>
      </c>
      <c r="B20" s="8" t="inlineStr">
        <is>
          <t>Sub Distribution Board with busbar, CB and other accessories (Training model)</t>
        </is>
      </c>
      <c r="C20" s="9" t="n">
        <v>20</v>
      </c>
      <c r="D20" s="9" t="n"/>
      <c r="E20" s="9" t="n">
        <v>8</v>
      </c>
      <c r="F20" s="9">
        <f>IFERROR(MIN(C20,D20)*E20/C20,0)</f>
        <v/>
      </c>
      <c r="G20" s="9" t="n"/>
    </row>
    <row r="21" ht="14.15" customHeight="1">
      <c r="A21" s="7" t="n">
        <v>6</v>
      </c>
      <c r="B21" s="8" t="inlineStr">
        <is>
          <t>Crimping tools</t>
        </is>
      </c>
      <c r="C21" s="9" t="n">
        <v>10</v>
      </c>
      <c r="D21" s="9" t="n"/>
      <c r="E21" s="9" t="n">
        <v>7</v>
      </c>
      <c r="F21" s="9">
        <f>IFERROR(MIN(C21,D21)*E21/C21,0)</f>
        <v/>
      </c>
      <c r="G21" s="9" t="n"/>
    </row>
    <row r="22" ht="14.15" customHeight="1">
      <c r="A22" s="7" t="n">
        <v>7</v>
      </c>
      <c r="B22" s="8" t="inlineStr">
        <is>
          <t>Adjustable wrench</t>
        </is>
      </c>
      <c r="C22" s="9" t="n">
        <v>10</v>
      </c>
      <c r="D22" s="9" t="n"/>
      <c r="E22" s="9" t="n">
        <v>4</v>
      </c>
      <c r="F22" s="9">
        <f>IFERROR(MIN(C22,D22)*E22/C22,0)</f>
        <v/>
      </c>
      <c r="G22" s="9" t="n"/>
    </row>
    <row r="23" ht="14.15" customHeight="1">
      <c r="A23" s="7" t="n">
        <v>8</v>
      </c>
      <c r="B23" s="8" t="inlineStr">
        <is>
          <t>Electric drill machine</t>
        </is>
      </c>
      <c r="C23" s="9" t="n">
        <v>2</v>
      </c>
      <c r="D23" s="9" t="n"/>
      <c r="E23" s="9" t="n">
        <v>6</v>
      </c>
      <c r="F23" s="9">
        <f>IFERROR(MIN(C23,D23)*E23/C23,0)</f>
        <v/>
      </c>
      <c r="G23" s="9" t="n"/>
    </row>
    <row r="24" ht="14.15" customHeight="1">
      <c r="A24" s="7" t="n">
        <v>9</v>
      </c>
      <c r="B24" s="8" t="inlineStr">
        <is>
          <t>Electric grinding machine</t>
        </is>
      </c>
      <c r="C24" s="9" t="n">
        <v>2</v>
      </c>
      <c r="D24" s="9" t="n"/>
      <c r="E24" s="9" t="n">
        <v>6</v>
      </c>
      <c r="F24" s="9">
        <f>IFERROR(MIN(C24,D24)*E24/C24,0)</f>
        <v/>
      </c>
      <c r="G24" s="9" t="n"/>
    </row>
    <row r="25" ht="14.15" customHeight="1">
      <c r="A25" s="7" t="n">
        <v>10</v>
      </c>
      <c r="B25" s="8" t="inlineStr">
        <is>
          <t>Energy Meter (1 Phase)</t>
        </is>
      </c>
      <c r="C25" s="9" t="n">
        <v>10</v>
      </c>
      <c r="D25" s="9" t="n"/>
      <c r="E25" s="9" t="n">
        <v>6</v>
      </c>
      <c r="F25" s="9">
        <f>IFERROR(MIN(C25,D25)*E25/C25,0)</f>
        <v/>
      </c>
      <c r="G25" s="9" t="n"/>
    </row>
    <row r="26" ht="14.15" customHeight="1">
      <c r="A26" s="7" t="n">
        <v>11</v>
      </c>
      <c r="B26" s="8" t="inlineStr">
        <is>
          <t>Energy Meter (3 Phase)</t>
        </is>
      </c>
      <c r="C26" s="9" t="n">
        <v>5</v>
      </c>
      <c r="D26" s="9" t="n"/>
      <c r="E26" s="9" t="n">
        <v>6</v>
      </c>
      <c r="F26" s="9">
        <f>IFERROR(MIN(C26,D26)*E26/C26,0)</f>
        <v/>
      </c>
      <c r="G26" s="9" t="n"/>
    </row>
    <row r="27" ht="14.15" customHeight="1">
      <c r="A27" s="7" t="n">
        <v>12</v>
      </c>
      <c r="B27" s="8" t="inlineStr">
        <is>
          <t>Multi meter/AVO meter</t>
        </is>
      </c>
      <c r="C27" s="9" t="n">
        <v>20</v>
      </c>
      <c r="D27" s="9" t="n"/>
      <c r="E27" s="9" t="n">
        <v>7</v>
      </c>
      <c r="F27" s="9">
        <f>IFERROR(MIN(C27,D27)*E27/C27,0)</f>
        <v/>
      </c>
      <c r="G27" s="9" t="n"/>
    </row>
    <row r="28" ht="14.15" customHeight="1">
      <c r="A28" s="7" t="n">
        <v>13</v>
      </c>
      <c r="B28" s="8" t="inlineStr">
        <is>
          <t>Insulation tester</t>
        </is>
      </c>
      <c r="C28" s="9" t="n">
        <v>2</v>
      </c>
      <c r="D28" s="9" t="n"/>
      <c r="E28" s="9" t="n">
        <v>5</v>
      </c>
      <c r="F28" s="9">
        <f>IFERROR(MIN(C28,D28)*E28/C28,0)</f>
        <v/>
      </c>
      <c r="G28" s="9" t="n"/>
    </row>
    <row r="29" ht="14.15" customHeight="1">
      <c r="A29" s="7" t="n">
        <v>14</v>
      </c>
      <c r="B29" s="8" t="inlineStr">
        <is>
          <t>Clamp Meter</t>
        </is>
      </c>
      <c r="C29" s="9" t="n">
        <v>2</v>
      </c>
      <c r="D29" s="9" t="n"/>
      <c r="E29" s="9" t="n">
        <v>5</v>
      </c>
      <c r="F29" s="9">
        <f>IFERROR(MIN(C29,D29)*E29/C29,0)</f>
        <v/>
      </c>
      <c r="G29" s="9" t="n"/>
    </row>
    <row r="30" ht="14.15" customHeight="1">
      <c r="A30" s="7" t="n">
        <v>15</v>
      </c>
      <c r="B30" s="8" t="inlineStr">
        <is>
          <t>Phase sequence meter</t>
        </is>
      </c>
      <c r="C30" s="9" t="n">
        <v>1</v>
      </c>
      <c r="D30" s="9" t="n"/>
      <c r="E30" s="9" t="n">
        <v>5</v>
      </c>
      <c r="F30" s="9">
        <f>IFERROR(MIN(C30,D30)*E30/C30,0)</f>
        <v/>
      </c>
      <c r="G30" s="9" t="n"/>
    </row>
    <row r="31" ht="14.15" customHeight="1">
      <c r="A31" s="7" t="n">
        <v>16</v>
      </c>
      <c r="B31" s="8" t="inlineStr">
        <is>
          <t>Ceiling fan</t>
        </is>
      </c>
      <c r="C31" s="9" t="n">
        <v>10</v>
      </c>
      <c r="D31" s="9" t="n"/>
      <c r="E31" s="9" t="n">
        <v>4</v>
      </c>
      <c r="F31" s="9">
        <f>IFERROR(MIN(C31,D31)*E31/C31,0)</f>
        <v/>
      </c>
      <c r="G31" s="9" t="n"/>
    </row>
    <row r="32" ht="14.15" customHeight="1">
      <c r="A32" s="7" t="n">
        <v>17</v>
      </c>
      <c r="B32" s="8" t="inlineStr">
        <is>
          <t>Bench Vice</t>
        </is>
      </c>
      <c r="C32" s="9" t="n">
        <v>5</v>
      </c>
      <c r="D32" s="9" t="n"/>
      <c r="E32" s="9" t="n">
        <v>4</v>
      </c>
      <c r="F32" s="9">
        <f>IFERROR(MIN(C32,D32)*E32/C32,0)</f>
        <v/>
      </c>
      <c r="G32" s="9" t="n"/>
    </row>
    <row r="33" ht="14.15" customHeight="1">
      <c r="A33" s="7" t="n">
        <v>18</v>
      </c>
      <c r="B33" s="8" t="inlineStr">
        <is>
          <t>Tool box with all accessories</t>
        </is>
      </c>
      <c r="C33" s="9" t="n">
        <v>10</v>
      </c>
      <c r="D33" s="9" t="n"/>
      <c r="E33" s="9" t="n">
        <v>4</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Building Electrification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Building Electrification</t>
        </is>
      </c>
      <c r="C8" s="4" t="inlineStr">
        <is>
          <t>Classroom – 400 sft 
Workshop/ lab – 600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Building Electrification,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Wiring Board</t>
        </is>
      </c>
      <c r="C18" s="9" t="n">
        <v>20</v>
      </c>
      <c r="D18" s="9" t="n"/>
      <c r="E18" s="9" t="n">
        <v>9</v>
      </c>
      <c r="F18" s="9">
        <f>IFERROR(MIN(C18,D18)*E18/C18,0)</f>
        <v/>
      </c>
      <c r="G18" s="9" t="n"/>
    </row>
    <row r="19" ht="14.15" customHeight="1">
      <c r="A19" s="7" t="n">
        <v>4</v>
      </c>
      <c r="B19" s="8" t="inlineStr">
        <is>
          <t>Main Distribution Board with busbar, CB and other accessories (Training model)</t>
        </is>
      </c>
      <c r="C19" s="9" t="n">
        <v>1</v>
      </c>
      <c r="D19" s="9" t="n"/>
      <c r="E19" s="9" t="n">
        <v>8</v>
      </c>
      <c r="F19" s="9">
        <f>IFERROR(MIN(C19,D19)*E19/C19,0)</f>
        <v/>
      </c>
      <c r="G19" s="9" t="n"/>
    </row>
    <row r="20" ht="14.15" customHeight="1">
      <c r="A20" s="7" t="n">
        <v>5</v>
      </c>
      <c r="B20" s="8" t="inlineStr">
        <is>
          <t>Sub Distribution Board with busbar, CB and other accessories (Training model)</t>
        </is>
      </c>
      <c r="C20" s="9" t="n">
        <v>10</v>
      </c>
      <c r="D20" s="9" t="n"/>
      <c r="E20" s="9" t="n">
        <v>8</v>
      </c>
      <c r="F20" s="9">
        <f>IFERROR(MIN(C20,D20)*E20/C20,0)</f>
        <v/>
      </c>
      <c r="G20" s="9" t="n"/>
    </row>
    <row r="21" ht="14.15" customHeight="1">
      <c r="A21" s="7" t="n">
        <v>6</v>
      </c>
      <c r="B21" s="8" t="inlineStr">
        <is>
          <t>Magnetic contactor (coil voltage 220V and 400V)</t>
        </is>
      </c>
      <c r="C21" s="9" t="n">
        <v>5</v>
      </c>
      <c r="D21" s="9" t="n"/>
      <c r="E21" s="9" t="n">
        <v>7</v>
      </c>
      <c r="F21" s="9">
        <f>IFERROR(MIN(C21,D21)*E21/C21,0)</f>
        <v/>
      </c>
      <c r="G21" s="9" t="n"/>
    </row>
    <row r="22" ht="14.15" customHeight="1">
      <c r="A22" s="7" t="n">
        <v>7</v>
      </c>
      <c r="B22" s="8" t="inlineStr">
        <is>
          <t>Push switch</t>
        </is>
      </c>
      <c r="C22" s="9" t="n">
        <v>30</v>
      </c>
      <c r="D22" s="9" t="n"/>
      <c r="E22" s="9" t="n">
        <v>4</v>
      </c>
      <c r="F22" s="9">
        <f>IFERROR(MIN(C22,D22)*E22/C22,0)</f>
        <v/>
      </c>
      <c r="G22" s="9" t="n"/>
    </row>
    <row r="23" ht="14.15" customHeight="1">
      <c r="A23" s="7" t="n">
        <v>8</v>
      </c>
      <c r="B23" s="8" t="inlineStr">
        <is>
          <t>Generator</t>
        </is>
      </c>
      <c r="C23" s="9" t="n">
        <v>1</v>
      </c>
      <c r="D23" s="9" t="n"/>
      <c r="E23" s="9" t="n">
        <v>7</v>
      </c>
      <c r="F23" s="9">
        <f>IFERROR(MIN(C23,D23)*E23/C23,0)</f>
        <v/>
      </c>
      <c r="G23" s="9" t="n"/>
    </row>
    <row r="24" ht="14.15" customHeight="1">
      <c r="A24" s="7" t="n">
        <v>9</v>
      </c>
      <c r="B24" s="8" t="inlineStr">
        <is>
          <t>Electric drill machine</t>
        </is>
      </c>
      <c r="C24" s="9" t="n">
        <v>5</v>
      </c>
      <c r="D24" s="9" t="n"/>
      <c r="E24" s="9" t="n">
        <v>6</v>
      </c>
      <c r="F24" s="9">
        <f>IFERROR(MIN(C24,D24)*E24/C24,0)</f>
        <v/>
      </c>
      <c r="G24" s="9" t="n"/>
    </row>
    <row r="25" ht="14.15" customHeight="1">
      <c r="A25" s="7" t="n">
        <v>10</v>
      </c>
      <c r="B25" s="8" t="inlineStr">
        <is>
          <t>Electric grinding machine</t>
        </is>
      </c>
      <c r="C25" s="9" t="n">
        <v>2</v>
      </c>
      <c r="D25" s="9" t="n"/>
      <c r="E25" s="9" t="n">
        <v>6</v>
      </c>
      <c r="F25" s="9">
        <f>IFERROR(MIN(C25,D25)*E25/C25,0)</f>
        <v/>
      </c>
      <c r="G25" s="9" t="n"/>
    </row>
    <row r="26" ht="14.15" customHeight="1">
      <c r="A26" s="7" t="n">
        <v>11</v>
      </c>
      <c r="B26" s="8" t="inlineStr">
        <is>
          <t>Soldering Stations</t>
        </is>
      </c>
      <c r="C26" s="9" t="n">
        <v>5</v>
      </c>
      <c r="D26" s="9" t="n"/>
      <c r="E26" s="9" t="n">
        <v>6</v>
      </c>
      <c r="F26" s="9">
        <f>IFERROR(MIN(C26,D26)*E26/C26,0)</f>
        <v/>
      </c>
      <c r="G26" s="9" t="n"/>
    </row>
    <row r="27" ht="14.15" customHeight="1">
      <c r="A27" s="7" t="n">
        <v>12</v>
      </c>
      <c r="B27" s="8" t="inlineStr">
        <is>
          <t>Energy Meter (1 Phase)</t>
        </is>
      </c>
      <c r="C27" s="9" t="n">
        <v>10</v>
      </c>
      <c r="D27" s="9" t="n"/>
      <c r="E27" s="9" t="n">
        <v>6</v>
      </c>
      <c r="F27" s="9">
        <f>IFERROR(MIN(C27,D27)*E27/C27,0)</f>
        <v/>
      </c>
      <c r="G27" s="9" t="n"/>
    </row>
    <row r="28" ht="14.15" customHeight="1">
      <c r="A28" s="7" t="n">
        <v>13</v>
      </c>
      <c r="B28" s="8" t="inlineStr">
        <is>
          <t>Energy Meter (3 Phase)</t>
        </is>
      </c>
      <c r="C28" s="9" t="n">
        <v>1</v>
      </c>
      <c r="D28" s="9" t="n"/>
      <c r="E28" s="9" t="n">
        <v>6</v>
      </c>
      <c r="F28" s="9">
        <f>IFERROR(MIN(C28,D28)*E28/C28,0)</f>
        <v/>
      </c>
      <c r="G28" s="9" t="n"/>
    </row>
    <row r="29" ht="14.15" customHeight="1">
      <c r="A29" s="7" t="n">
        <v>14</v>
      </c>
      <c r="B29" s="8" t="inlineStr">
        <is>
          <t>Multi meter/AVO meter</t>
        </is>
      </c>
      <c r="C29" s="9" t="n">
        <v>10</v>
      </c>
      <c r="D29" s="9" t="n"/>
      <c r="E29" s="9" t="n">
        <v>7</v>
      </c>
      <c r="F29" s="9">
        <f>IFERROR(MIN(C29,D29)*E29/C29,0)</f>
        <v/>
      </c>
      <c r="G29" s="9" t="n"/>
    </row>
    <row r="30" ht="14.15" customHeight="1">
      <c r="A30" s="7" t="n">
        <v>15</v>
      </c>
      <c r="B30" s="8" t="inlineStr">
        <is>
          <t>Earth tester</t>
        </is>
      </c>
      <c r="C30" s="9" t="n">
        <v>1</v>
      </c>
      <c r="D30" s="9" t="n"/>
      <c r="E30" s="9" t="n">
        <v>5</v>
      </c>
      <c r="F30" s="9">
        <f>IFERROR(MIN(C30,D30)*E30/C30,0)</f>
        <v/>
      </c>
      <c r="G30" s="9" t="n"/>
    </row>
    <row r="31" ht="14.15" customHeight="1">
      <c r="A31" s="7" t="n">
        <v>16</v>
      </c>
      <c r="B31" s="8" t="inlineStr">
        <is>
          <t>Insulation tester</t>
        </is>
      </c>
      <c r="C31" s="9" t="n">
        <v>2</v>
      </c>
      <c r="D31" s="9" t="n"/>
      <c r="E31" s="9" t="n">
        <v>5</v>
      </c>
      <c r="F31" s="9">
        <f>IFERROR(MIN(C31,D31)*E31/C31,0)</f>
        <v/>
      </c>
      <c r="G31" s="9" t="n"/>
    </row>
    <row r="32" ht="14.15" customHeight="1">
      <c r="A32" s="7" t="n">
        <v>17</v>
      </c>
      <c r="B32" s="8" t="inlineStr">
        <is>
          <t>Clamp Meter</t>
        </is>
      </c>
      <c r="C32" s="9" t="n">
        <v>2</v>
      </c>
      <c r="D32" s="9" t="n"/>
      <c r="E32" s="9" t="n">
        <v>5</v>
      </c>
      <c r="F32" s="9">
        <f>IFERROR(MIN(C32,D32)*E32/C32,0)</f>
        <v/>
      </c>
      <c r="G32" s="9" t="n"/>
    </row>
    <row r="33" ht="14.15" customHeight="1">
      <c r="A33" s="7" t="n">
        <v>18</v>
      </c>
      <c r="B33" s="8" t="inlineStr">
        <is>
          <t>Phase sequence meter</t>
        </is>
      </c>
      <c r="C33" s="9" t="n">
        <v>1</v>
      </c>
      <c r="D33" s="9" t="n"/>
      <c r="E33" s="9" t="n">
        <v>5</v>
      </c>
      <c r="F33" s="9">
        <f>IFERROR(MIN(C33,D33)*E33/C33,0)</f>
        <v/>
      </c>
      <c r="G33" s="9" t="n"/>
    </row>
    <row r="34" ht="14.15" customHeight="1">
      <c r="A34" s="7" t="n">
        <v>19</v>
      </c>
      <c r="B34" s="8" t="inlineStr">
        <is>
          <t>Single phase induction motor</t>
        </is>
      </c>
      <c r="C34" s="9" t="n">
        <v>2</v>
      </c>
      <c r="D34" s="9" t="n"/>
      <c r="E34" s="9" t="n">
        <v>6</v>
      </c>
      <c r="F34" s="9">
        <f>IFERROR(MIN(C34,D34)*E34/C34,0)</f>
        <v/>
      </c>
      <c r="G34" s="9" t="n"/>
    </row>
    <row r="35" ht="14.15" customHeight="1">
      <c r="A35" s="7" t="n">
        <v>20</v>
      </c>
      <c r="B35" s="8" t="inlineStr">
        <is>
          <t>Ceiling fan</t>
        </is>
      </c>
      <c r="C35" s="9" t="n">
        <v>10</v>
      </c>
      <c r="D35" s="9" t="n"/>
      <c r="E35" s="9" t="n">
        <v>4</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TIG and MIG WELDING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TIG and MIG WELDING</t>
        </is>
      </c>
      <c r="C8" s="4" t="inlineStr">
        <is>
          <t>Classroom-350 sft (33 sqm)
Workshop/lab-800 sft (75 sq) OR
Classroom cum workshop-1000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TIG and MIG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9</v>
      </c>
      <c r="F19" s="9">
        <f>IFERROR(MIN(C19,D19)*E19/C19,0)</f>
        <v/>
      </c>
      <c r="G19" s="9" t="n"/>
    </row>
    <row r="20" ht="14.15" customHeight="1">
      <c r="A20" s="7" t="n">
        <v>5</v>
      </c>
      <c r="B20" s="8" t="inlineStr">
        <is>
          <t>Gas welding set</t>
        </is>
      </c>
      <c r="C20" s="9" t="n">
        <v>3</v>
      </c>
      <c r="D20" s="9" t="n"/>
      <c r="E20" s="9" t="n">
        <v>8</v>
      </c>
      <c r="F20" s="9">
        <f>IFERROR(MIN(C20,D20)*E20/C20,0)</f>
        <v/>
      </c>
      <c r="G20" s="9" t="n"/>
    </row>
    <row r="21" ht="14.15" customHeight="1">
      <c r="A21" s="7" t="n">
        <v>6</v>
      </c>
      <c r="B21" s="8" t="inlineStr">
        <is>
          <t>MIG welding machine</t>
        </is>
      </c>
      <c r="C21" s="9" t="n">
        <v>5</v>
      </c>
      <c r="D21" s="9" t="n"/>
      <c r="E21" s="9" t="n">
        <v>9</v>
      </c>
      <c r="F21" s="9">
        <f>IFERROR(MIN(C21,D21)*E21/C21,0)</f>
        <v/>
      </c>
      <c r="G21" s="9" t="n"/>
    </row>
    <row r="22" ht="14.15" customHeight="1">
      <c r="A22" s="7" t="n">
        <v>7</v>
      </c>
      <c r="B22" s="8" t="inlineStr">
        <is>
          <t>TIG welding machine</t>
        </is>
      </c>
      <c r="C22" s="9" t="n">
        <v>5</v>
      </c>
      <c r="D22" s="9" t="n"/>
      <c r="E22" s="9" t="n">
        <v>9</v>
      </c>
      <c r="F22" s="9">
        <f>IFERROR(MIN(C22,D22)*E22/C22,0)</f>
        <v/>
      </c>
      <c r="G22" s="9" t="n"/>
    </row>
    <row r="23" ht="14.15" customHeight="1">
      <c r="A23" s="7" t="n">
        <v>8</v>
      </c>
      <c r="B23" s="8" t="inlineStr">
        <is>
          <t>Gas cutting set</t>
        </is>
      </c>
      <c r="C23" s="9" t="n">
        <v>2</v>
      </c>
      <c r="D23" s="9" t="n"/>
      <c r="E23" s="9" t="n">
        <v>8</v>
      </c>
      <c r="F23" s="9">
        <f>IFERROR(MIN(C23,D23)*E23/C23,0)</f>
        <v/>
      </c>
      <c r="G23" s="9" t="n"/>
    </row>
    <row r="24" ht="14.15" customHeight="1">
      <c r="A24" s="7" t="n">
        <v>9</v>
      </c>
      <c r="B24" s="8" t="inlineStr">
        <is>
          <t>Spare cylinder set (Argon, oxygen and acetylene)</t>
        </is>
      </c>
      <c r="C24" s="9" t="n">
        <v>1</v>
      </c>
      <c r="D24" s="9" t="n"/>
      <c r="E24" s="9" t="n">
        <v>6</v>
      </c>
      <c r="F24" s="9">
        <f>IFERROR(MIN(C24,D24)*E24/C24,0)</f>
        <v/>
      </c>
      <c r="G24" s="9" t="n"/>
    </row>
    <row r="25" ht="14.15" customHeight="1">
      <c r="A25" s="7" t="n">
        <v>10</v>
      </c>
      <c r="B25" s="8" t="inlineStr">
        <is>
          <t>Power grinding machine</t>
        </is>
      </c>
      <c r="C25" s="9" t="n">
        <v>1</v>
      </c>
      <c r="D25" s="9" t="n"/>
      <c r="E25" s="9" t="n">
        <v>6</v>
      </c>
      <c r="F25" s="9">
        <f>IFERROR(MIN(C25,D25)*E25/C25,0)</f>
        <v/>
      </c>
      <c r="G25" s="9" t="n"/>
    </row>
    <row r="26" ht="14.15" customHeight="1">
      <c r="A26" s="7" t="n">
        <v>11</v>
      </c>
      <c r="B26" s="8" t="inlineStr">
        <is>
          <t>Hand grinding machine</t>
        </is>
      </c>
      <c r="C26" s="9" t="n">
        <v>4</v>
      </c>
      <c r="D26" s="9" t="n"/>
      <c r="E26" s="9" t="n">
        <v>6</v>
      </c>
      <c r="F26" s="9">
        <f>IFERROR(MIN(C26,D26)*E26/C26,0)</f>
        <v/>
      </c>
      <c r="G26" s="9" t="n"/>
    </row>
    <row r="27" ht="14.15" customHeight="1">
      <c r="A27" s="7" t="n">
        <v>12</v>
      </c>
      <c r="B27" s="8" t="inlineStr">
        <is>
          <t>Bench vice</t>
        </is>
      </c>
      <c r="C27" s="9" t="n">
        <v>10</v>
      </c>
      <c r="D27" s="9" t="n"/>
      <c r="E27" s="9" t="n">
        <v>5</v>
      </c>
      <c r="F27" s="9">
        <f>IFERROR(MIN(C27,D27)*E27/C27,0)</f>
        <v/>
      </c>
      <c r="G27" s="9" t="n"/>
    </row>
    <row r="28" ht="14.15" customHeight="1">
      <c r="A28" s="7" t="n">
        <v>13</v>
      </c>
      <c r="B28" s="8" t="inlineStr">
        <is>
          <t>Tool box set for welding workshop</t>
        </is>
      </c>
      <c r="C28" s="9" t="n">
        <v>10</v>
      </c>
      <c r="D28" s="9" t="n"/>
      <c r="E28" s="9" t="n">
        <v>5</v>
      </c>
      <c r="F28" s="9">
        <f>IFERROR(MIN(C28,D28)*E28/C28,0)</f>
        <v/>
      </c>
      <c r="G28" s="9" t="n"/>
    </row>
    <row r="29" ht="14.15" customHeight="1">
      <c r="A29" s="7" t="n">
        <v>14</v>
      </c>
      <c r="B29" s="8" t="inlineStr">
        <is>
          <t>Fire extinguisher</t>
        </is>
      </c>
      <c r="C29" s="9" t="n">
        <v>4</v>
      </c>
      <c r="D29" s="9" t="n"/>
      <c r="E29" s="9" t="n">
        <v>4</v>
      </c>
      <c r="F29" s="9">
        <f>IFERROR(MIN(C29,D29)*E29/C29,0)</f>
        <v/>
      </c>
      <c r="G29" s="9" t="n"/>
    </row>
    <row r="30" ht="14.15" customHeight="1">
      <c r="A30" s="7" t="n">
        <v>15</v>
      </c>
      <c r="B30" s="8" t="inlineStr">
        <is>
          <t>Welding booth with exhaust system</t>
        </is>
      </c>
      <c r="C30" s="9" t="n">
        <v>10</v>
      </c>
      <c r="D30" s="9" t="n"/>
      <c r="E30" s="9" t="n">
        <v>7</v>
      </c>
      <c r="F30" s="9">
        <f>IFERROR(MIN(C30,D30)*E30/C30,0)</f>
        <v/>
      </c>
      <c r="G30" s="9" t="n"/>
    </row>
    <row r="31" ht="14.15" customHeight="1">
      <c r="A31" s="7" t="n">
        <v>16</v>
      </c>
      <c r="B31" s="8" t="inlineStr">
        <is>
          <t>First aid box</t>
        </is>
      </c>
      <c r="C31" s="9" t="n">
        <v>3</v>
      </c>
      <c r="D31" s="9" t="n"/>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Masonry</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Advanced Masonry</t>
        </is>
      </c>
      <c r="C8" s="4" t="inlineStr">
        <is>
          <t>Classroom – 350 sft (33 sqm)
Workshop/lab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Masonry,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4</v>
      </c>
      <c r="F18" s="9">
        <f>IFERROR(MIN(C18,D18)*E18/C18,0)</f>
        <v/>
      </c>
      <c r="G18" s="9" t="n"/>
    </row>
    <row r="19" ht="14.15" customHeight="1">
      <c r="A19" s="7" t="n">
        <v>4</v>
      </c>
      <c r="B19" s="8" t="inlineStr">
        <is>
          <t>Masonry Tools (Hammers, Trowels, Masonry Saws)</t>
        </is>
      </c>
      <c r="C19" s="9" t="n">
        <v>20</v>
      </c>
      <c r="D19" s="9" t="n"/>
      <c r="E19" s="9" t="n">
        <v>9</v>
      </c>
      <c r="F19" s="9">
        <f>IFERROR(MIN(C19,D19)*E19/C19,0)</f>
        <v/>
      </c>
      <c r="G19" s="9" t="n"/>
    </row>
    <row r="20" ht="14.15" customHeight="1">
      <c r="A20" s="7" t="n">
        <v>5</v>
      </c>
      <c r="B20" s="8" t="inlineStr">
        <is>
          <t>Laser light/laser level</t>
        </is>
      </c>
      <c r="C20" s="9" t="n">
        <v>5</v>
      </c>
      <c r="D20" s="9" t="n"/>
      <c r="E20" s="9" t="n">
        <v>6</v>
      </c>
      <c r="F20" s="9">
        <f>IFERROR(MIN(C20,D20)*E20/C20,0)</f>
        <v/>
      </c>
      <c r="G20" s="9" t="n"/>
    </row>
    <row r="21" ht="14.15" customHeight="1">
      <c r="A21" s="7" t="n">
        <v>6</v>
      </c>
      <c r="B21" s="8" t="inlineStr">
        <is>
          <t>Shovels</t>
        </is>
      </c>
      <c r="C21" s="9" t="n">
        <v>10</v>
      </c>
      <c r="D21" s="9" t="n"/>
      <c r="E21" s="9" t="n">
        <v>4</v>
      </c>
      <c r="F21" s="9">
        <f>IFERROR(MIN(C21,D21)*E21/C21,0)</f>
        <v/>
      </c>
      <c r="G21" s="9" t="n"/>
    </row>
    <row r="22" ht="14.15" customHeight="1">
      <c r="A22" s="7" t="n">
        <v>7</v>
      </c>
      <c r="B22" s="8" t="inlineStr">
        <is>
          <t>Wooden float</t>
        </is>
      </c>
      <c r="C22" s="9" t="n">
        <v>20</v>
      </c>
      <c r="D22" s="9" t="n"/>
      <c r="E22" s="9" t="n">
        <v>6</v>
      </c>
      <c r="F22" s="9">
        <f>IFERROR(MIN(C22,D22)*E22/C22,0)</f>
        <v/>
      </c>
      <c r="G22" s="9" t="n"/>
    </row>
    <row r="23" ht="14.15" customHeight="1">
      <c r="A23" s="7" t="n">
        <v>8</v>
      </c>
      <c r="B23" s="8" t="inlineStr">
        <is>
          <t>Aluminum floating roll</t>
        </is>
      </c>
      <c r="C23" s="9" t="n">
        <v>20</v>
      </c>
      <c r="D23" s="9" t="n"/>
      <c r="E23" s="9" t="n">
        <v>6</v>
      </c>
      <c r="F23" s="9">
        <f>IFERROR(MIN(C23,D23)*E23/C23,0)</f>
        <v/>
      </c>
      <c r="G23" s="9" t="n"/>
    </row>
    <row r="24" ht="14.15" customHeight="1">
      <c r="A24" s="7" t="n">
        <v>9</v>
      </c>
      <c r="B24" s="8" t="inlineStr">
        <is>
          <t>Plumb-bob</t>
        </is>
      </c>
      <c r="C24" s="9" t="n">
        <v>20</v>
      </c>
      <c r="D24" s="9" t="n"/>
      <c r="E24" s="9" t="n">
        <v>4</v>
      </c>
      <c r="F24" s="9">
        <f>IFERROR(MIN(C24,D24)*E24/C24,0)</f>
        <v/>
      </c>
      <c r="G24" s="9" t="n"/>
    </row>
    <row r="25" ht="14.15" customHeight="1">
      <c r="A25" s="7" t="n">
        <v>10</v>
      </c>
      <c r="B25" s="8" t="inlineStr">
        <is>
          <t>Sprit level</t>
        </is>
      </c>
      <c r="C25" s="9" t="n">
        <v>20</v>
      </c>
      <c r="D25" s="9" t="n"/>
      <c r="E25" s="9" t="n">
        <v>5</v>
      </c>
      <c r="F25" s="9">
        <f>IFERROR(MIN(C25,D25)*E25/C25,0)</f>
        <v/>
      </c>
      <c r="G25" s="9" t="n"/>
    </row>
    <row r="26" ht="14.15" customHeight="1">
      <c r="A26" s="7" t="n">
        <v>11</v>
      </c>
      <c r="B26" s="8" t="inlineStr">
        <is>
          <t>Masonry tray</t>
        </is>
      </c>
      <c r="C26" s="9" t="n">
        <v>20</v>
      </c>
      <c r="D26" s="9" t="n"/>
      <c r="E26" s="9" t="n">
        <v>4</v>
      </c>
      <c r="F26" s="9">
        <f>IFERROR(MIN(C26,D26)*E26/C26,0)</f>
        <v/>
      </c>
      <c r="G26" s="9" t="n"/>
    </row>
    <row r="27" ht="14.15" customHeight="1">
      <c r="A27" s="7" t="n">
        <v>12</v>
      </c>
      <c r="B27" s="8" t="inlineStr">
        <is>
          <t>Water level pipe</t>
        </is>
      </c>
      <c r="C27" s="9" t="n">
        <v>5</v>
      </c>
      <c r="D27" s="9" t="n"/>
      <c r="E27" s="9" t="n">
        <v>4</v>
      </c>
      <c r="F27" s="9">
        <f>IFERROR(MIN(C27,D27)*E27/C27,0)</f>
        <v/>
      </c>
      <c r="G27" s="9" t="n"/>
    </row>
    <row r="28" ht="14.15" customHeight="1">
      <c r="A28" s="7" t="n">
        <v>13</v>
      </c>
      <c r="B28" s="8" t="inlineStr">
        <is>
          <t>Concrete mixing machine (electric and manual)</t>
        </is>
      </c>
      <c r="C28" s="9" t="n">
        <v>2</v>
      </c>
      <c r="D28" s="9" t="n"/>
      <c r="E28" s="9" t="n">
        <v>8</v>
      </c>
      <c r="F28" s="9">
        <f>IFERROR(MIN(C28,D28)*E28/C28,0)</f>
        <v/>
      </c>
      <c r="G28" s="9" t="n"/>
    </row>
    <row r="29" ht="14.15" customHeight="1">
      <c r="A29" s="7" t="n">
        <v>14</v>
      </c>
      <c r="B29" s="8" t="inlineStr">
        <is>
          <t>Measuring Tape</t>
        </is>
      </c>
      <c r="C29" s="9" t="n">
        <v>20</v>
      </c>
      <c r="D29" s="9" t="n"/>
      <c r="E29" s="9" t="n">
        <v>3</v>
      </c>
      <c r="F29" s="9">
        <f>IFERROR(MIN(C29,D29)*E29/C29,0)</f>
        <v/>
      </c>
      <c r="G29" s="9" t="n"/>
    </row>
    <row r="30" ht="14.15" customHeight="1">
      <c r="A30" s="7" t="n">
        <v>15</v>
      </c>
      <c r="B30" s="8" t="inlineStr">
        <is>
          <t>Pointing Trowels</t>
        </is>
      </c>
      <c r="C30" s="9" t="n">
        <v>10</v>
      </c>
      <c r="D30" s="9" t="n"/>
      <c r="E30" s="9" t="n">
        <v>5</v>
      </c>
      <c r="F30" s="9">
        <f>IFERROR(MIN(C30,D30)*E30/C30,0)</f>
        <v/>
      </c>
      <c r="G30" s="9" t="n"/>
    </row>
    <row r="31" ht="14.15" customHeight="1">
      <c r="A31" s="7" t="n">
        <v>16</v>
      </c>
      <c r="B31" s="8" t="inlineStr">
        <is>
          <t>Trolly</t>
        </is>
      </c>
      <c r="C31" s="9" t="n">
        <v>2</v>
      </c>
      <c r="D31" s="9" t="n"/>
      <c r="E31" s="9" t="n">
        <v>4</v>
      </c>
      <c r="F31" s="9">
        <f>IFERROR(MIN(C31,D31)*E31/C31,0)</f>
        <v/>
      </c>
      <c r="G31" s="9" t="n"/>
    </row>
    <row r="32" ht="14.15" customHeight="1">
      <c r="A32" s="7" t="n">
        <v>17</v>
      </c>
      <c r="B32" s="8" t="inlineStr">
        <is>
          <t>Masonry Drill machine</t>
        </is>
      </c>
      <c r="C32" s="9" t="n">
        <v>2</v>
      </c>
      <c r="D32" s="9" t="n"/>
      <c r="E32" s="9" t="n">
        <v>6</v>
      </c>
      <c r="F32" s="9">
        <f>IFERROR(MIN(C32,D32)*E32/C32,0)</f>
        <v/>
      </c>
      <c r="G32" s="9" t="n"/>
    </row>
    <row r="33" ht="14.15" customHeight="1">
      <c r="A33" s="7" t="n">
        <v>18</v>
      </c>
      <c r="B33" s="8" t="inlineStr">
        <is>
          <t>Mortar Mixing Buckets</t>
        </is>
      </c>
      <c r="C33" s="9" t="n">
        <v>20</v>
      </c>
      <c r="D33" s="9" t="n"/>
      <c r="E33" s="9" t="n">
        <v>3</v>
      </c>
      <c r="F33" s="9">
        <f>IFERROR(MIN(C33,D33)*E33/C33,0)</f>
        <v/>
      </c>
      <c r="G33" s="9" t="n"/>
    </row>
    <row r="34" ht="14.15" customHeight="1">
      <c r="A34" s="7" t="n">
        <v>19</v>
      </c>
      <c r="B34" s="8" t="inlineStr">
        <is>
          <t>Try square</t>
        </is>
      </c>
      <c r="C34" s="9" t="n">
        <v>20</v>
      </c>
      <c r="D34" s="9" t="n"/>
      <c r="E34" s="9" t="n">
        <v>4</v>
      </c>
      <c r="F34" s="9">
        <f>IFERROR(MIN(C34,D34)*E34/C34,0)</f>
        <v/>
      </c>
      <c r="G34" s="9" t="n"/>
    </row>
    <row r="35" ht="14.15" customHeight="1">
      <c r="A35" s="7" t="n">
        <v>20</v>
      </c>
      <c r="B35" s="8" t="inlineStr">
        <is>
          <t>Scaffolding with accessories</t>
        </is>
      </c>
      <c r="C35" s="9" t="n">
        <v>2</v>
      </c>
      <c r="D35" s="9" t="n"/>
      <c r="E35" s="9" t="n">
        <v>7</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Plumbing and Pipe Fitting</t>
        </is>
      </c>
      <c r="C8" s="4" t="inlineStr">
        <is>
          <t>Classroom – 350 sft (33 sqm)
Workshop/ lab – 800 sft (75 sqm)
                     OR
Classroom cum workshop – 1000 sft (93 sqm) Space for Plumbing booth not included</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Wash Basin</t>
        </is>
      </c>
      <c r="C20" s="9" t="n">
        <v>5</v>
      </c>
      <c r="D20" s="9" t="n"/>
      <c r="E20" s="9" t="n">
        <v>6</v>
      </c>
      <c r="F20" s="9">
        <f>IFERROR(MIN(C20,D20)*E20/C20,0)</f>
        <v/>
      </c>
      <c r="G20" s="9" t="n"/>
    </row>
    <row r="21" ht="14.15" customHeight="1">
      <c r="A21" s="7" t="n">
        <v>6</v>
      </c>
      <c r="B21" s="8" t="inlineStr">
        <is>
          <t>Western commode</t>
        </is>
      </c>
      <c r="C21" s="9" t="n">
        <v>5</v>
      </c>
      <c r="D21" s="9" t="n"/>
      <c r="E21" s="9" t="n">
        <v>6</v>
      </c>
      <c r="F21" s="9">
        <f>IFERROR(MIN(C21,D21)*E21/C21,0)</f>
        <v/>
      </c>
      <c r="G21" s="9" t="n"/>
    </row>
    <row r="22" ht="14.15" customHeight="1">
      <c r="A22" s="7" t="n">
        <v>7</v>
      </c>
      <c r="B22" s="8" t="inlineStr">
        <is>
          <t>Asian commode</t>
        </is>
      </c>
      <c r="C22" s="9" t="n">
        <v>5</v>
      </c>
      <c r="D22" s="9" t="n"/>
      <c r="E22" s="9" t="n">
        <v>6</v>
      </c>
      <c r="F22" s="9">
        <f>IFERROR(MIN(C22,D22)*E22/C22,0)</f>
        <v/>
      </c>
      <c r="G22" s="9" t="n"/>
    </row>
    <row r="23" ht="14.15" customHeight="1">
      <c r="A23" s="7" t="n">
        <v>8</v>
      </c>
      <c r="B23" s="8" t="inlineStr">
        <is>
          <t>Urinal</t>
        </is>
      </c>
      <c r="C23" s="9" t="n">
        <v>2</v>
      </c>
      <c r="D23" s="9" t="n"/>
      <c r="E23" s="9" t="n">
        <v>5</v>
      </c>
      <c r="F23" s="9">
        <f>IFERROR(MIN(C23,D23)*E23/C23,0)</f>
        <v/>
      </c>
      <c r="G23" s="9" t="n"/>
    </row>
    <row r="24" ht="14.15" customHeight="1">
      <c r="A24" s="7" t="n">
        <v>9</v>
      </c>
      <c r="B24" s="8" t="inlineStr">
        <is>
          <t>Shower unit</t>
        </is>
      </c>
      <c r="C24" s="9" t="n">
        <v>5</v>
      </c>
      <c r="D24" s="9" t="n"/>
      <c r="E24" s="9" t="n">
        <v>5</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4</v>
      </c>
      <c r="F27" s="9">
        <f>IFERROR(MIN(C27,D27)*E27/C27,0)</f>
        <v/>
      </c>
      <c r="G27" s="9" t="n"/>
    </row>
    <row r="28" ht="14.15" customHeight="1">
      <c r="A28" s="7" t="n">
        <v>13</v>
      </c>
      <c r="B28" s="8" t="inlineStr">
        <is>
          <t>Pipe Cutter</t>
        </is>
      </c>
      <c r="C28" s="9" t="n">
        <v>20</v>
      </c>
      <c r="D28" s="9" t="n"/>
      <c r="E28" s="9" t="n">
        <v>7</v>
      </c>
      <c r="F28" s="9">
        <f>IFERROR(MIN(C28,D28)*E28/C28,0)</f>
        <v/>
      </c>
      <c r="G28" s="9" t="n"/>
    </row>
    <row r="29" ht="14.15" customHeight="1">
      <c r="A29" s="7" t="n">
        <v>14</v>
      </c>
      <c r="B29" s="8" t="inlineStr">
        <is>
          <t>Pipe vice (with stand/ work table)</t>
        </is>
      </c>
      <c r="C29" s="9" t="n">
        <v>20</v>
      </c>
      <c r="D29" s="9" t="n"/>
      <c r="E29" s="9" t="n">
        <v>8</v>
      </c>
      <c r="F29" s="9">
        <f>IFERROR(MIN(C29,D29)*E29/C29,0)</f>
        <v/>
      </c>
      <c r="G29" s="9" t="n"/>
    </row>
    <row r="30" ht="14.15" customHeight="1">
      <c r="A30" s="7" t="n">
        <v>15</v>
      </c>
      <c r="B30" s="8" t="inlineStr">
        <is>
          <t>Pipe threading machine</t>
        </is>
      </c>
      <c r="C30" s="9" t="n">
        <v>1</v>
      </c>
      <c r="D30" s="9" t="n"/>
      <c r="E30" s="9" t="n">
        <v>8</v>
      </c>
      <c r="F30" s="9">
        <f>IFERROR(MIN(C30,D30)*E30/C30,0)</f>
        <v/>
      </c>
      <c r="G30" s="9" t="n"/>
    </row>
    <row r="31" ht="14.15" customHeight="1">
      <c r="A31" s="7" t="n">
        <v>16</v>
      </c>
      <c r="B31" s="8" t="inlineStr">
        <is>
          <t>Diestock</t>
        </is>
      </c>
      <c r="C31" s="9" t="n">
        <v>20</v>
      </c>
      <c r="D31" s="9" t="n"/>
      <c r="E31" s="9" t="n">
        <v>6</v>
      </c>
      <c r="F31" s="9">
        <f>IFERROR(MIN(C31,D31)*E31/C31,0)</f>
        <v/>
      </c>
      <c r="G31" s="9" t="n"/>
    </row>
    <row r="32" ht="14.15" customHeight="1">
      <c r="A32" s="7" t="n">
        <v>17</v>
      </c>
      <c r="B32" s="8" t="inlineStr">
        <is>
          <t>Grinding Machine</t>
        </is>
      </c>
      <c r="C32" s="9" t="n">
        <v>10</v>
      </c>
      <c r="D32" s="9" t="n"/>
      <c r="E32" s="9" t="n">
        <v>6</v>
      </c>
      <c r="F32" s="9">
        <f>IFERROR(MIN(C32,D32)*E32/C32,0)</f>
        <v/>
      </c>
      <c r="G32" s="9" t="n"/>
    </row>
    <row r="33" ht="14.15" customHeight="1">
      <c r="A33" s="7" t="n">
        <v>18</v>
      </c>
      <c r="B33" s="8" t="inlineStr">
        <is>
          <t>Spirit level</t>
        </is>
      </c>
      <c r="C33" s="9" t="n">
        <v>10</v>
      </c>
      <c r="D33" s="9" t="n"/>
      <c r="E33" s="9" t="n">
        <v>4</v>
      </c>
      <c r="F33" s="9">
        <f>IFERROR(MIN(C33,D33)*E33/C33,0)</f>
        <v/>
      </c>
      <c r="G33" s="9" t="n"/>
    </row>
    <row r="34" ht="14.15" customHeight="1">
      <c r="A34" s="7" t="n">
        <v>19</v>
      </c>
      <c r="B34" s="8" t="inlineStr">
        <is>
          <t>Drill machine</t>
        </is>
      </c>
      <c r="C34" s="9" t="n">
        <v>5</v>
      </c>
      <c r="D34" s="9" t="n"/>
      <c r="E34" s="9" t="n">
        <v>6</v>
      </c>
      <c r="F34" s="9">
        <f>IFERROR(MIN(C34,D34)*E34/C34,0)</f>
        <v/>
      </c>
      <c r="G34" s="9" t="n"/>
    </row>
    <row r="35" ht="14.15" customHeight="1">
      <c r="A35" s="7" t="n">
        <v>20</v>
      </c>
      <c r="B35" s="8" t="inlineStr">
        <is>
          <t>PPR welding machine</t>
        </is>
      </c>
      <c r="C35" s="9" t="n">
        <v>2</v>
      </c>
      <c r="D35" s="9" t="n"/>
      <c r="E35" s="9" t="n">
        <v>8</v>
      </c>
      <c r="F35" s="9">
        <f>IFERROR(MIN(C35,D35)*E35/C35,0)</f>
        <v/>
      </c>
      <c r="G35" s="9" t="n"/>
    </row>
    <row r="36" ht="14.15" customHeight="1">
      <c r="A36" s="7" t="n">
        <v>21</v>
      </c>
      <c r="B36" s="8" t="inlineStr">
        <is>
          <t>Core cutting machine</t>
        </is>
      </c>
      <c r="C36" s="9" t="n">
        <v>1</v>
      </c>
      <c r="D36" s="9" t="n"/>
      <c r="E36" s="9" t="n">
        <v>7</v>
      </c>
      <c r="F36" s="9">
        <f>IFERROR(MIN(C36,D36)*E36/C36,0)</f>
        <v/>
      </c>
      <c r="G36" s="9" t="n"/>
    </row>
    <row r="37" ht="14.15" customHeight="1">
      <c r="A37" s="7" t="n">
        <v>22</v>
      </c>
      <c r="B37" s="8" t="inlineStr">
        <is>
          <t>Pipe wrench</t>
        </is>
      </c>
      <c r="C37" s="9" t="n">
        <v>20</v>
      </c>
      <c r="D37" s="9" t="n"/>
      <c r="E37" s="9" t="n">
        <v>4</v>
      </c>
      <c r="F37" s="9">
        <f>IFERROR(MIN(C37,D37)*E37/C37,0)</f>
        <v/>
      </c>
      <c r="G37" s="9" t="n"/>
    </row>
    <row r="38" ht="14.15" customHeight="1">
      <c r="A38" s="7" t="n">
        <v>23</v>
      </c>
      <c r="B38" s="8" t="inlineStr">
        <is>
          <t>Overhead water Tank</t>
        </is>
      </c>
      <c r="C38" s="9" t="n">
        <v>1</v>
      </c>
      <c r="D38" s="9" t="n"/>
      <c r="E38" s="9" t="n">
        <v>5</v>
      </c>
      <c r="F38" s="9">
        <f>IFERROR(MIN(C38,D38)*E38/C38,0)</f>
        <v/>
      </c>
      <c r="G38" s="9" t="n"/>
    </row>
    <row r="39" ht="14.15" customHeight="1">
      <c r="A39" s="7" t="n">
        <v>24</v>
      </c>
      <c r="B39" s="8" t="inlineStr">
        <is>
          <t>Tri-Square</t>
        </is>
      </c>
      <c r="C39" s="9" t="n">
        <v>10</v>
      </c>
      <c r="D39" s="9" t="n"/>
      <c r="E39" s="9" t="n">
        <v>3</v>
      </c>
      <c r="F39" s="9">
        <f>IFERROR(MIN(C39,D39)*E39/C39,0)</f>
        <v/>
      </c>
      <c r="G39" s="9" t="n"/>
    </row>
    <row r="40" ht="14.15" customHeight="1">
      <c r="A40" s="7" t="n">
        <v>25</v>
      </c>
      <c r="B40" s="8" t="inlineStr">
        <is>
          <t>Plum bob</t>
        </is>
      </c>
      <c r="C40" s="9" t="n">
        <v>10</v>
      </c>
      <c r="D40" s="9" t="n"/>
      <c r="E40" s="9" t="n">
        <v>3</v>
      </c>
      <c r="F40" s="9">
        <f>IFERROR(MIN(C40,D40)*E40/C40,0)</f>
        <v/>
      </c>
      <c r="G40" s="9" t="n"/>
    </row>
    <row r="41" ht="14.15" customHeight="1">
      <c r="A41" s="7" t="n">
        <v>26</v>
      </c>
      <c r="B41" s="8" t="inlineStr">
        <is>
          <t>Measuring Tape</t>
        </is>
      </c>
      <c r="C41" s="9" t="n">
        <v>20</v>
      </c>
      <c r="D41" s="9" t="n"/>
      <c r="E41" s="9" t="n">
        <v>3</v>
      </c>
      <c r="F41" s="9">
        <f>IFERROR(MIN(C41,D41)*E41/C41,0)</f>
        <v/>
      </c>
      <c r="G41" s="9" t="n"/>
    </row>
    <row r="42">
      <c r="A42" s="10" t="inlineStr">
        <is>
          <t>Sum</t>
        </is>
      </c>
      <c r="B42" s="11" t="n"/>
      <c r="C42" s="11" t="n"/>
      <c r="D42" s="12" t="n"/>
      <c r="E42" s="10">
        <f>SUM(E16:E41)</f>
        <v/>
      </c>
      <c r="F42" s="10">
        <f>SUM(F16:F41)</f>
        <v/>
      </c>
      <c r="G42" s="13" t="n"/>
    </row>
    <row r="43">
      <c r="A43" s="10" t="inlineStr">
        <is>
          <t>Score out of 100</t>
        </is>
      </c>
      <c r="B43" s="11" t="n"/>
      <c r="C43" s="11" t="n"/>
      <c r="D43" s="11" t="n"/>
      <c r="E43" s="12" t="n"/>
      <c r="F43" s="10">
        <f>F42/E42*100</f>
        <v/>
      </c>
      <c r="G43" s="13" t="n"/>
    </row>
    <row r="44" ht="9.75" customHeight="1"/>
    <row r="45">
      <c r="A45" s="10" t="inlineStr">
        <is>
          <t xml:space="preserve">Total achieved points out of 30  </t>
        </is>
      </c>
      <c r="B45" s="11" t="n"/>
      <c r="C45" s="11" t="n"/>
      <c r="D45" s="11" t="n"/>
      <c r="E45" s="12" t="n"/>
      <c r="F45" s="10">
        <f>F43*30/100</f>
        <v/>
      </c>
      <c r="G45" s="10" t="inlineStr">
        <is>
          <t>Points</t>
        </is>
      </c>
    </row>
  </sheetData>
  <mergeCells count="8">
    <mergeCell ref="A13:G13"/>
    <mergeCell ref="C7:G7"/>
    <mergeCell ref="A44:G44"/>
    <mergeCell ref="A1:G1"/>
    <mergeCell ref="A42:D42"/>
    <mergeCell ref="A43:E43"/>
    <mergeCell ref="A45:E4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2026-08-17T07:23:46Z</dcterms:modified>
</cp:coreProperties>
</file>
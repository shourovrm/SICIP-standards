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TE-Welding" sheetId="1" state="visible" r:id="rId1"/>
    <sheet xmlns:r="http://schemas.openxmlformats.org/officeDocument/2006/relationships" name="DTE-Sewing Machine Op" sheetId="2" state="visible" r:id="rId2"/>
    <sheet xmlns:r="http://schemas.openxmlformats.org/officeDocument/2006/relationships" name="DTE-Welding 4G-6G" sheetId="3" state="visible" r:id="rId3"/>
    <sheet xmlns:r="http://schemas.openxmlformats.org/officeDocument/2006/relationships" name="DTE-Adv Sewing Machine" sheetId="4" state="visible" r:id="rId4"/>
    <sheet xmlns:r="http://schemas.openxmlformats.org/officeDocument/2006/relationships" name="DTE-EIM" sheetId="5" state="visible" r:id="rId5"/>
    <sheet xmlns:r="http://schemas.openxmlformats.org/officeDocument/2006/relationships" name="DTE-Interior Design" sheetId="6" state="visible" r:id="rId6"/>
    <sheet xmlns:r="http://schemas.openxmlformats.org/officeDocument/2006/relationships" name="DTE-IT Support Mobile" sheetId="7" state="visible" r:id="rId7"/>
    <sheet xmlns:r="http://schemas.openxmlformats.org/officeDocument/2006/relationships" name="DTE-Jute Product Dev" sheetId="8" state="visible" r:id="rId8"/>
    <sheet xmlns:r="http://schemas.openxmlformats.org/officeDocument/2006/relationships" name="DTE-Motorcycle Maint" sheetId="9" state="visible" r:id="rId9"/>
    <sheet xmlns:r="http://schemas.openxmlformats.org/officeDocument/2006/relationships" name="DTE-Plumbing Pipe Fit"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Welding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Welding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welding set</t>
        </is>
      </c>
      <c r="C20" s="9" t="n">
        <v>3</v>
      </c>
      <c r="D20" s="9" t="n">
        <v>0</v>
      </c>
      <c r="E20" s="9" t="n">
        <v>8</v>
      </c>
      <c r="F20" s="9">
        <f>IFERROR(MIN(C20,D20)*E20/C20,0)</f>
        <v/>
      </c>
      <c r="G20" s="9" t="n"/>
    </row>
    <row r="21" ht="14.15" customHeight="1">
      <c r="A21" s="7" t="n">
        <v>6</v>
      </c>
      <c r="B21" s="8" t="inlineStr">
        <is>
          <t>MIG welding machine</t>
        </is>
      </c>
      <c r="C21" s="9" t="n">
        <v>5</v>
      </c>
      <c r="D21" s="9" t="n">
        <v>0</v>
      </c>
      <c r="E21" s="9" t="n">
        <v>9</v>
      </c>
      <c r="F21" s="9">
        <f>IFERROR(MIN(C21,D21)*E21/C21,0)</f>
        <v/>
      </c>
      <c r="G21" s="9" t="n"/>
    </row>
    <row r="22" ht="14.15" customHeight="1">
      <c r="A22" s="7" t="n">
        <v>7</v>
      </c>
      <c r="B22" s="8" t="inlineStr">
        <is>
          <t>TIG welding machine</t>
        </is>
      </c>
      <c r="C22" s="9" t="n">
        <v>5</v>
      </c>
      <c r="D22" s="9" t="n">
        <v>0</v>
      </c>
      <c r="E22" s="9" t="n">
        <v>9</v>
      </c>
      <c r="F22" s="9">
        <f>IFERROR(MIN(C22,D22)*E22/C22,0)</f>
        <v/>
      </c>
      <c r="G22" s="9" t="n"/>
    </row>
    <row r="23" ht="14.15" customHeight="1">
      <c r="A23" s="7" t="n">
        <v>8</v>
      </c>
      <c r="B23" s="8" t="inlineStr">
        <is>
          <t>Gas cutting set</t>
        </is>
      </c>
      <c r="C23" s="9" t="n">
        <v>2</v>
      </c>
      <c r="D23" s="9" t="n">
        <v>0</v>
      </c>
      <c r="E23" s="9" t="n">
        <v>8</v>
      </c>
      <c r="F23" s="9">
        <f>IFERROR(MIN(C23,D23)*E23/C23,0)</f>
        <v/>
      </c>
      <c r="G23" s="9" t="n"/>
    </row>
    <row r="24" ht="14.15" customHeight="1">
      <c r="A24" s="7" t="n">
        <v>9</v>
      </c>
      <c r="B24" s="8" t="inlineStr">
        <is>
          <t>Spare cylinder set (Argon, oxygen and acetylene)</t>
        </is>
      </c>
      <c r="C24" s="9" t="n">
        <v>1</v>
      </c>
      <c r="D24" s="9" t="n">
        <v>0</v>
      </c>
      <c r="E24" s="9" t="n">
        <v>6</v>
      </c>
      <c r="F24" s="9">
        <f>IFERROR(MIN(C24,D24)*E24/C24,0)</f>
        <v/>
      </c>
      <c r="G24" s="9" t="n"/>
    </row>
    <row r="25" ht="14.15" customHeight="1">
      <c r="A25" s="7" t="n">
        <v>10</v>
      </c>
      <c r="B25" s="8" t="inlineStr">
        <is>
          <t>Power grinding machine</t>
        </is>
      </c>
      <c r="C25" s="9" t="n">
        <v>1</v>
      </c>
      <c r="D25" s="9" t="n">
        <v>0</v>
      </c>
      <c r="E25" s="9" t="n">
        <v>6</v>
      </c>
      <c r="F25" s="9">
        <f>IFERROR(MIN(C25,D25)*E25/C25,0)</f>
        <v/>
      </c>
      <c r="G25" s="9" t="n"/>
    </row>
    <row r="26" ht="14.15" customHeight="1">
      <c r="A26" s="7" t="n">
        <v>11</v>
      </c>
      <c r="B26" s="8" t="inlineStr">
        <is>
          <t>Hand grinding machine</t>
        </is>
      </c>
      <c r="C26" s="9" t="n">
        <v>4</v>
      </c>
      <c r="D26" s="9" t="n">
        <v>0</v>
      </c>
      <c r="E26" s="9" t="n">
        <v>6</v>
      </c>
      <c r="F26" s="9">
        <f>IFERROR(MIN(C26,D26)*E26/C26,0)</f>
        <v/>
      </c>
      <c r="G26" s="9" t="n"/>
    </row>
    <row r="27" ht="14.15" customHeight="1">
      <c r="A27" s="7" t="n">
        <v>12</v>
      </c>
      <c r="B27" s="8" t="inlineStr">
        <is>
          <t>Bench vice</t>
        </is>
      </c>
      <c r="C27" s="9" t="n">
        <v>10</v>
      </c>
      <c r="D27" s="9" t="n">
        <v>0</v>
      </c>
      <c r="E27" s="9" t="n">
        <v>5</v>
      </c>
      <c r="F27" s="9">
        <f>IFERROR(MIN(C27,D27)*E27/C27,0)</f>
        <v/>
      </c>
      <c r="G27" s="9" t="n"/>
    </row>
    <row r="28" ht="14.15" customHeight="1">
      <c r="A28" s="7" t="n">
        <v>13</v>
      </c>
      <c r="B28" s="8" t="inlineStr">
        <is>
          <t>Tool box set for welding workshop</t>
        </is>
      </c>
      <c r="C28" s="9" t="n">
        <v>10</v>
      </c>
      <c r="D28" s="9" t="n">
        <v>0</v>
      </c>
      <c r="E28" s="9" t="n">
        <v>5</v>
      </c>
      <c r="F28" s="9">
        <f>IFERROR(MIN(C28,D28)*E28/C28,0)</f>
        <v/>
      </c>
      <c r="G28" s="9" t="n"/>
    </row>
    <row r="29" ht="14.15" customHeight="1">
      <c r="A29" s="7" t="n">
        <v>14</v>
      </c>
      <c r="B29" s="8" t="inlineStr">
        <is>
          <t>Fire extinguisher</t>
        </is>
      </c>
      <c r="C29" s="9" t="n">
        <v>4</v>
      </c>
      <c r="D29" s="9" t="n">
        <v>0</v>
      </c>
      <c r="E29" s="9" t="n">
        <v>4</v>
      </c>
      <c r="F29" s="9">
        <f>IFERROR(MIN(C29,D29)*E29/C29,0)</f>
        <v/>
      </c>
      <c r="G29" s="9" t="n"/>
    </row>
    <row r="30" ht="14.15" customHeight="1">
      <c r="A30" s="7" t="n">
        <v>15</v>
      </c>
      <c r="B30" s="8" t="inlineStr">
        <is>
          <t>Welding booth with exhaust system</t>
        </is>
      </c>
      <c r="C30" s="9" t="n">
        <v>10</v>
      </c>
      <c r="D30" s="9" t="n">
        <v>0</v>
      </c>
      <c r="E30" s="9" t="n">
        <v>7</v>
      </c>
      <c r="F30" s="9">
        <f>IFERROR(MIN(C30,D30)*E30/C30,0)</f>
        <v/>
      </c>
      <c r="G30" s="9" t="n"/>
    </row>
    <row r="31" ht="14.15" customHeight="1">
      <c r="A31" s="7" t="n">
        <v>16</v>
      </c>
      <c r="B31" s="8" t="inlineStr">
        <is>
          <t>First aid box</t>
        </is>
      </c>
      <c r="C31" s="9" t="n">
        <v>3</v>
      </c>
      <c r="D31" s="9" t="n">
        <v>0</v>
      </c>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row r="36" ht="14.15" customHeight="1">
      <c r="A36" s="5"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Sewing Machine Operation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Sewing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Sewing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Single Needle Lock Stitch Machine</t>
        </is>
      </c>
      <c r="C18" s="9" t="n">
        <v>25</v>
      </c>
      <c r="D18" s="9" t="n">
        <v>0</v>
      </c>
      <c r="E18" s="9" t="n">
        <v>10</v>
      </c>
      <c r="F18" s="9">
        <f>IFERROR(MIN(C18,D18)*E18/C18,0)</f>
        <v/>
      </c>
      <c r="G18" s="9" t="n"/>
    </row>
    <row r="19" ht="14.15" customHeight="1">
      <c r="A19" s="7" t="n">
        <v>4</v>
      </c>
      <c r="B19" s="8" t="inlineStr">
        <is>
          <t>Overlock Machine</t>
        </is>
      </c>
      <c r="C19" s="9" t="n">
        <v>5</v>
      </c>
      <c r="D19" s="9" t="n">
        <v>0</v>
      </c>
      <c r="E19" s="9" t="n">
        <v>8</v>
      </c>
      <c r="F19" s="9">
        <f>IFERROR(MIN(C19,D19)*E19/C19,0)</f>
        <v/>
      </c>
      <c r="G19" s="9" t="n"/>
    </row>
    <row r="20" ht="14.15" customHeight="1">
      <c r="A20" s="7" t="n">
        <v>5</v>
      </c>
      <c r="B20" s="8" t="inlineStr">
        <is>
          <t>Single Needle Chain Stitch Machine</t>
        </is>
      </c>
      <c r="C20" s="9" t="n">
        <v>5</v>
      </c>
      <c r="D20" s="9" t="n">
        <v>0</v>
      </c>
      <c r="E20" s="9" t="n">
        <v>8</v>
      </c>
      <c r="F20" s="9">
        <f>IFERROR(MIN(C20,D20)*E20/C20,0)</f>
        <v/>
      </c>
      <c r="G20" s="9" t="n"/>
    </row>
    <row r="21" ht="14.15" customHeight="1">
      <c r="A21" s="7" t="n">
        <v>6</v>
      </c>
      <c r="B21" s="8" t="inlineStr">
        <is>
          <t>Button hole machine</t>
        </is>
      </c>
      <c r="C21" s="9" t="n">
        <v>1</v>
      </c>
      <c r="D21" s="9" t="n">
        <v>0</v>
      </c>
      <c r="E21" s="9" t="n">
        <v>6</v>
      </c>
      <c r="F21" s="9">
        <f>IFERROR(MIN(C21,D21)*E21/C21,0)</f>
        <v/>
      </c>
      <c r="G21" s="9" t="n"/>
    </row>
    <row r="22" ht="14.15" customHeight="1">
      <c r="A22" s="7" t="n">
        <v>7</v>
      </c>
      <c r="B22" s="8" t="inlineStr">
        <is>
          <t>Button attach machine</t>
        </is>
      </c>
      <c r="C22" s="9" t="n">
        <v>1</v>
      </c>
      <c r="D22" s="9" t="n">
        <v>0</v>
      </c>
      <c r="E22" s="9" t="n">
        <v>6</v>
      </c>
      <c r="F22" s="9">
        <f>IFERROR(MIN(C22,D22)*E22/C22,0)</f>
        <v/>
      </c>
      <c r="G22" s="9" t="n"/>
    </row>
    <row r="23" ht="14.15" customHeight="1">
      <c r="A23" s="7" t="n">
        <v>8</v>
      </c>
      <c r="B23" s="8" t="inlineStr">
        <is>
          <t>Quality check table (Min.  5 Feet)</t>
        </is>
      </c>
      <c r="C23" s="9" t="n">
        <v>2</v>
      </c>
      <c r="D23" s="9" t="n">
        <v>0</v>
      </c>
      <c r="E23" s="9" t="n">
        <v>5</v>
      </c>
      <c r="F23" s="9">
        <f>IFERROR(MIN(C23,D23)*E23/C23,0)</f>
        <v/>
      </c>
      <c r="G23" s="9" t="n"/>
    </row>
    <row r="24" ht="14.15" customHeight="1">
      <c r="A24" s="7" t="n">
        <v>9</v>
      </c>
      <c r="B24" s="8" t="inlineStr">
        <is>
          <t>Iron Set</t>
        </is>
      </c>
      <c r="C24" s="9" t="n">
        <v>2</v>
      </c>
      <c r="D24" s="9" t="n">
        <v>0</v>
      </c>
      <c r="E24" s="9" t="n">
        <v>5</v>
      </c>
      <c r="F24" s="9">
        <f>IFERROR(MIN(C24,D24)*E24/C24,0)</f>
        <v/>
      </c>
      <c r="G24" s="9" t="n"/>
    </row>
    <row r="25" ht="14.15" customHeight="1">
      <c r="A25" s="7" t="n">
        <v>10</v>
      </c>
      <c r="B25" s="8" t="inlineStr">
        <is>
          <t>Iron Table</t>
        </is>
      </c>
      <c r="C25" s="9" t="n">
        <v>2</v>
      </c>
      <c r="D25" s="9" t="n">
        <v>0</v>
      </c>
      <c r="E25" s="9" t="n">
        <v>5</v>
      </c>
      <c r="F25" s="9">
        <f>IFERROR(MIN(C25,D25)*E25/C25,0)</f>
        <v/>
      </c>
      <c r="G25" s="9" t="n"/>
    </row>
    <row r="26">
      <c r="A26" s="10" t="inlineStr">
        <is>
          <t>Sum</t>
        </is>
      </c>
      <c r="B26" s="11" t="n"/>
      <c r="C26" s="11" t="n"/>
      <c r="D26" s="12" t="n"/>
      <c r="E26" s="10">
        <f>SUM(E16:E25)</f>
        <v/>
      </c>
      <c r="F26" s="10">
        <f>SUM(F16:F25)</f>
        <v/>
      </c>
      <c r="G26" s="13" t="n"/>
    </row>
    <row r="27">
      <c r="A27" s="10" t="inlineStr">
        <is>
          <t>Score out of 100</t>
        </is>
      </c>
      <c r="B27" s="11" t="n"/>
      <c r="C27" s="11" t="n"/>
      <c r="D27" s="11" t="n"/>
      <c r="E27" s="12" t="n"/>
      <c r="F27" s="10">
        <f>F26/E26*100</f>
        <v/>
      </c>
      <c r="G27" s="13" t="n"/>
    </row>
    <row r="28" ht="9.75" customHeight="1"/>
    <row r="29">
      <c r="A29" s="10" t="inlineStr">
        <is>
          <t xml:space="preserve">Total achieved points out of 30  </t>
        </is>
      </c>
      <c r="B29" s="11" t="n"/>
      <c r="C29" s="11" t="n"/>
      <c r="D29" s="11" t="n"/>
      <c r="E29" s="12" t="n"/>
      <c r="F29" s="10">
        <f>F27*30/100</f>
        <v/>
      </c>
      <c r="G29" s="10" t="inlineStr">
        <is>
          <t>Points</t>
        </is>
      </c>
    </row>
  </sheetData>
  <mergeCells count="8">
    <mergeCell ref="A13:G13"/>
    <mergeCell ref="C7:G7"/>
    <mergeCell ref="A29:E29"/>
    <mergeCell ref="A1:G1"/>
    <mergeCell ref="A26:D26"/>
    <mergeCell ref="C8:G8"/>
    <mergeCell ref="A27:E27"/>
    <mergeCell ref="A28:G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4G - 6G Welding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4G - 6G Welding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4G - 6G Welding,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welding set</t>
        </is>
      </c>
      <c r="C20" s="9" t="n">
        <v>3</v>
      </c>
      <c r="D20" s="9" t="n">
        <v>0</v>
      </c>
      <c r="E20" s="9" t="n">
        <v>8</v>
      </c>
      <c r="F20" s="9">
        <f>IFERROR(MIN(C20,D20)*E20/C20,0)</f>
        <v/>
      </c>
      <c r="G20" s="9" t="n"/>
    </row>
    <row r="21" ht="14.15" customHeight="1">
      <c r="A21" s="7" t="n">
        <v>6</v>
      </c>
      <c r="B21" s="8" t="inlineStr">
        <is>
          <t>MIG welding machine</t>
        </is>
      </c>
      <c r="C21" s="9" t="n">
        <v>2</v>
      </c>
      <c r="D21" s="9" t="n">
        <v>0</v>
      </c>
      <c r="E21" s="9" t="n">
        <v>9</v>
      </c>
      <c r="F21" s="9">
        <f>IFERROR(MIN(C21,D21)*E21/C21,0)</f>
        <v/>
      </c>
      <c r="G21" s="9" t="n"/>
    </row>
    <row r="22" ht="14.15" customHeight="1">
      <c r="A22" s="7" t="n">
        <v>7</v>
      </c>
      <c r="B22" s="8" t="inlineStr">
        <is>
          <t>TIG welding machine</t>
        </is>
      </c>
      <c r="C22" s="9" t="n">
        <v>2</v>
      </c>
      <c r="D22" s="9" t="n">
        <v>0</v>
      </c>
      <c r="E22" s="9" t="n">
        <v>9</v>
      </c>
      <c r="F22" s="9">
        <f>IFERROR(MIN(C22,D22)*E22/C22,0)</f>
        <v/>
      </c>
      <c r="G22" s="9" t="n"/>
    </row>
    <row r="23" ht="14.15" customHeight="1">
      <c r="A23" s="7" t="n">
        <v>8</v>
      </c>
      <c r="B23" s="8" t="inlineStr">
        <is>
          <t>Gas cutting set</t>
        </is>
      </c>
      <c r="C23" s="9" t="n">
        <v>3</v>
      </c>
      <c r="D23" s="9" t="n">
        <v>0</v>
      </c>
      <c r="E23" s="9" t="n">
        <v>8</v>
      </c>
      <c r="F23" s="9">
        <f>IFERROR(MIN(C23,D23)*E23/C23,0)</f>
        <v/>
      </c>
      <c r="G23" s="9" t="n"/>
    </row>
    <row r="24" ht="14.15" customHeight="1">
      <c r="A24" s="7" t="n">
        <v>9</v>
      </c>
      <c r="B24" s="8" t="inlineStr">
        <is>
          <t>Spare cylinder set (Argon, oxygen and acetylene)</t>
        </is>
      </c>
      <c r="C24" s="9" t="n">
        <v>1</v>
      </c>
      <c r="D24" s="9" t="n">
        <v>0</v>
      </c>
      <c r="E24" s="9" t="n">
        <v>6</v>
      </c>
      <c r="F24" s="9">
        <f>IFERROR(MIN(C24,D24)*E24/C24,0)</f>
        <v/>
      </c>
      <c r="G24" s="9" t="n"/>
    </row>
    <row r="25" ht="14.15" customHeight="1">
      <c r="A25" s="7" t="n">
        <v>10</v>
      </c>
      <c r="B25" s="8" t="inlineStr">
        <is>
          <t>Power grinding machine</t>
        </is>
      </c>
      <c r="C25" s="9" t="n">
        <v>5</v>
      </c>
      <c r="D25" s="9" t="n">
        <v>0</v>
      </c>
      <c r="E25" s="9" t="n">
        <v>6</v>
      </c>
      <c r="F25" s="9">
        <f>IFERROR(MIN(C25,D25)*E25/C25,0)</f>
        <v/>
      </c>
      <c r="G25" s="9" t="n"/>
    </row>
    <row r="26" ht="14.15" customHeight="1">
      <c r="A26" s="7" t="n">
        <v>11</v>
      </c>
      <c r="B26" s="8" t="inlineStr">
        <is>
          <t>Hand grinding machine</t>
        </is>
      </c>
      <c r="C26" s="9" t="n">
        <v>10</v>
      </c>
      <c r="D26" s="9" t="n">
        <v>0</v>
      </c>
      <c r="E26" s="9" t="n">
        <v>6</v>
      </c>
      <c r="F26" s="9">
        <f>IFERROR(MIN(C26,D26)*E26/C26,0)</f>
        <v/>
      </c>
      <c r="G26" s="9" t="n"/>
    </row>
    <row r="27" ht="14.15" customHeight="1">
      <c r="A27" s="7" t="n">
        <v>12</v>
      </c>
      <c r="B27" s="8" t="inlineStr">
        <is>
          <t>Bench vice</t>
        </is>
      </c>
      <c r="C27" s="9" t="n">
        <v>10</v>
      </c>
      <c r="D27" s="9" t="n">
        <v>0</v>
      </c>
      <c r="E27" s="9" t="n">
        <v>5</v>
      </c>
      <c r="F27" s="9">
        <f>IFERROR(MIN(C27,D27)*E27/C27,0)</f>
        <v/>
      </c>
      <c r="G27" s="9" t="n"/>
    </row>
    <row r="28" ht="14.15" customHeight="1">
      <c r="A28" s="7" t="n">
        <v>13</v>
      </c>
      <c r="B28" s="8" t="inlineStr">
        <is>
          <t>Tool box set for welding workshop</t>
        </is>
      </c>
      <c r="C28" s="9" t="n">
        <v>10</v>
      </c>
      <c r="D28" s="9" t="n">
        <v>0</v>
      </c>
      <c r="E28" s="9" t="n">
        <v>5</v>
      </c>
      <c r="F28" s="9">
        <f>IFERROR(MIN(C28,D28)*E28/C28,0)</f>
        <v/>
      </c>
      <c r="G28" s="9" t="n"/>
    </row>
    <row r="29" ht="14.15" customHeight="1">
      <c r="A29" s="7" t="n">
        <v>14</v>
      </c>
      <c r="B29" s="8" t="inlineStr">
        <is>
          <t>Fire extinguisher</t>
        </is>
      </c>
      <c r="C29" s="9" t="n">
        <v>4</v>
      </c>
      <c r="D29" s="9" t="n">
        <v>0</v>
      </c>
      <c r="E29" s="9" t="n">
        <v>4</v>
      </c>
      <c r="F29" s="9">
        <f>IFERROR(MIN(C29,D29)*E29/C29,0)</f>
        <v/>
      </c>
      <c r="G29" s="9" t="n"/>
    </row>
    <row r="30" ht="14.15" customHeight="1">
      <c r="A30" s="7" t="n">
        <v>15</v>
      </c>
      <c r="B30" s="8" t="inlineStr">
        <is>
          <t>Welding booth with exhaust system</t>
        </is>
      </c>
      <c r="C30" s="9" t="n">
        <v>10</v>
      </c>
      <c r="D30" s="9" t="n">
        <v>0</v>
      </c>
      <c r="E30" s="9" t="n">
        <v>7</v>
      </c>
      <c r="F30" s="9">
        <f>IFERROR(MIN(C30,D30)*E30/C30,0)</f>
        <v/>
      </c>
      <c r="G30" s="9" t="n"/>
    </row>
    <row r="31" ht="14.15" customHeight="1">
      <c r="A31" s="7" t="n">
        <v>16</v>
      </c>
      <c r="B31" s="8" t="inlineStr">
        <is>
          <t>First aid box</t>
        </is>
      </c>
      <c r="C31" s="9" t="n">
        <v>3</v>
      </c>
      <c r="D31" s="9" t="n">
        <v>0</v>
      </c>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row r="36" ht="14.15" customHeight="1">
      <c r="A36" s="5"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Sewing Machine Operation</t>
        </is>
      </c>
    </row>
    <row r="4" ht="26.85" customHeight="1">
      <c r="A4" s="2" t="inlineStr">
        <is>
          <t>Number of Trainees:</t>
        </is>
      </c>
      <c r="B4" s="2" t="n">
        <v>30</v>
      </c>
    </row>
    <row r="6">
      <c r="A6" s="3" t="inlineStr">
        <is>
          <t>Course-wise Training Space (Theoretical Classroom, Workshop/ Lab/ Classroom cum Workshop)</t>
        </is>
      </c>
    </row>
    <row r="7">
      <c r="B7" s="2" t="inlineStr">
        <is>
          <t>Course Name</t>
        </is>
      </c>
      <c r="C7" s="2" t="inlineStr">
        <is>
          <t>SICIP required space for 30 trainees</t>
        </is>
      </c>
      <c r="D7" s="11" t="n"/>
      <c r="E7" s="11" t="n"/>
      <c r="F7" s="11" t="n"/>
      <c r="G7" s="12" t="n"/>
    </row>
    <row r="8" ht="52.2" customHeight="1">
      <c r="B8" s="2" t="inlineStr">
        <is>
          <t>Advanced Sewing Machine Operation</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Sewing Machine Operation,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Single Needle Lock Stitch Machine</t>
        </is>
      </c>
      <c r="C18" s="9" t="n">
        <v>30</v>
      </c>
      <c r="D18" s="9" t="n">
        <v>0</v>
      </c>
      <c r="E18" s="9" t="n">
        <v>10</v>
      </c>
      <c r="F18" s="9">
        <f>IFERROR(MIN(C18,D18)*E18/C18,0)</f>
        <v/>
      </c>
      <c r="G18" s="9" t="n"/>
    </row>
    <row r="19" ht="14.15" customHeight="1">
      <c r="A19" s="7" t="n">
        <v>4</v>
      </c>
      <c r="B19" s="8" t="inlineStr">
        <is>
          <t>Overlock Machine</t>
        </is>
      </c>
      <c r="C19" s="9" t="n">
        <v>5</v>
      </c>
      <c r="D19" s="9" t="n">
        <v>0</v>
      </c>
      <c r="E19" s="9" t="n">
        <v>9</v>
      </c>
      <c r="F19" s="9">
        <f>IFERROR(MIN(C19,D19)*E19/C19,0)</f>
        <v/>
      </c>
      <c r="G19" s="9" t="n"/>
    </row>
    <row r="20" ht="14.15" customHeight="1">
      <c r="A20" s="7" t="n">
        <v>5</v>
      </c>
      <c r="B20" s="8" t="inlineStr">
        <is>
          <t>Flat Lock Machine Operation</t>
        </is>
      </c>
      <c r="C20" s="9" t="n">
        <v>2</v>
      </c>
      <c r="D20" s="9" t="n">
        <v>0</v>
      </c>
      <c r="E20" s="9" t="n">
        <v>8</v>
      </c>
      <c r="F20" s="9">
        <f>IFERROR(MIN(C20,D20)*E20/C20,0)</f>
        <v/>
      </c>
      <c r="G20" s="9" t="n"/>
    </row>
    <row r="21" ht="14.15" customHeight="1">
      <c r="A21" s="7" t="n">
        <v>6</v>
      </c>
      <c r="B21" s="8" t="inlineStr">
        <is>
          <t>Double Needle Lock Stitch Machine</t>
        </is>
      </c>
      <c r="C21" s="9" t="n">
        <v>2</v>
      </c>
      <c r="D21" s="9" t="n">
        <v>0</v>
      </c>
      <c r="E21" s="9" t="n">
        <v>8</v>
      </c>
      <c r="F21" s="9">
        <f>IFERROR(MIN(C21,D21)*E21/C21,0)</f>
        <v/>
      </c>
      <c r="G21" s="9" t="n"/>
    </row>
    <row r="22" ht="14.15" customHeight="1">
      <c r="A22" s="7" t="n">
        <v>7</v>
      </c>
      <c r="B22" s="8" t="inlineStr">
        <is>
          <t>Feed of the Arm Machine</t>
        </is>
      </c>
      <c r="C22" s="9" t="n">
        <v>2</v>
      </c>
      <c r="D22" s="9" t="n">
        <v>0</v>
      </c>
      <c r="E22" s="9" t="n">
        <v>8</v>
      </c>
      <c r="F22" s="9">
        <f>IFERROR(MIN(C22,D22)*E22/C22,0)</f>
        <v/>
      </c>
      <c r="G22" s="9" t="n"/>
    </row>
    <row r="23" ht="14.15" customHeight="1">
      <c r="A23" s="7" t="n">
        <v>8</v>
      </c>
      <c r="B23" s="8" t="inlineStr">
        <is>
          <t>Multi Needle Chain Stitch Machine</t>
        </is>
      </c>
      <c r="C23" s="9" t="n">
        <v>3</v>
      </c>
      <c r="D23" s="9" t="n">
        <v>0</v>
      </c>
      <c r="E23" s="9" t="n">
        <v>8</v>
      </c>
      <c r="F23" s="9">
        <f>IFERROR(MIN(C23,D23)*E23/C23,0)</f>
        <v/>
      </c>
      <c r="G23" s="9" t="n"/>
    </row>
    <row r="24" ht="14.15" customHeight="1">
      <c r="A24" s="7" t="n">
        <v>9</v>
      </c>
      <c r="B24" s="8" t="inlineStr">
        <is>
          <t>Single Needle Chain Stitch Machine</t>
        </is>
      </c>
      <c r="C24" s="9" t="n">
        <v>2</v>
      </c>
      <c r="D24" s="9" t="n">
        <v>0</v>
      </c>
      <c r="E24" s="9" t="n">
        <v>8</v>
      </c>
      <c r="F24" s="9">
        <f>IFERROR(MIN(C24,D24)*E24/C24,0)</f>
        <v/>
      </c>
      <c r="G24" s="9" t="n"/>
    </row>
    <row r="25" ht="14.15" customHeight="1">
      <c r="A25" s="7" t="n">
        <v>10</v>
      </c>
      <c r="B25" s="8" t="inlineStr">
        <is>
          <t>Bar Tack Machine</t>
        </is>
      </c>
      <c r="C25" s="9" t="n">
        <v>2</v>
      </c>
      <c r="D25" s="9" t="n">
        <v>0</v>
      </c>
      <c r="E25" s="9" t="n">
        <v>7</v>
      </c>
      <c r="F25" s="9">
        <f>IFERROR(MIN(C25,D25)*E25/C25,0)</f>
        <v/>
      </c>
      <c r="G25" s="9" t="n"/>
    </row>
    <row r="26" ht="14.15" customHeight="1">
      <c r="A26" s="7" t="n">
        <v>11</v>
      </c>
      <c r="B26" s="8" t="inlineStr">
        <is>
          <t>Auto Pocket Welting (APW)</t>
        </is>
      </c>
      <c r="C26" s="9" t="n">
        <v>1</v>
      </c>
      <c r="D26" s="9" t="n">
        <v>0</v>
      </c>
      <c r="E26" s="9" t="n">
        <v>7</v>
      </c>
      <c r="F26" s="9">
        <f>IFERROR(MIN(C26,D26)*E26/C26,0)</f>
        <v/>
      </c>
      <c r="G26" s="9" t="n"/>
    </row>
    <row r="27" ht="14.15" customHeight="1">
      <c r="A27" s="7" t="n">
        <v>12</v>
      </c>
      <c r="B27" s="8" t="inlineStr">
        <is>
          <t>Quality check table (Min.  5 Feet)</t>
        </is>
      </c>
      <c r="C27" s="9" t="n">
        <v>2</v>
      </c>
      <c r="D27" s="9" t="n">
        <v>0</v>
      </c>
      <c r="E27" s="9" t="n">
        <v>5</v>
      </c>
      <c r="F27" s="9">
        <f>IFERROR(MIN(C27,D27)*E27/C27,0)</f>
        <v/>
      </c>
      <c r="G27" s="9" t="n"/>
    </row>
    <row r="28" ht="14.15" customHeight="1">
      <c r="A28" s="7" t="n">
        <v>13</v>
      </c>
      <c r="B28" s="8" t="inlineStr">
        <is>
          <t>Iron Set</t>
        </is>
      </c>
      <c r="C28" s="9" t="n">
        <v>2</v>
      </c>
      <c r="D28" s="9" t="n">
        <v>0</v>
      </c>
      <c r="E28" s="9" t="n">
        <v>5</v>
      </c>
      <c r="F28" s="9">
        <f>IFERROR(MIN(C28,D28)*E28/C28,0)</f>
        <v/>
      </c>
      <c r="G28" s="9" t="n"/>
    </row>
    <row r="29" ht="14.15" customHeight="1">
      <c r="A29" s="7" t="n">
        <v>14</v>
      </c>
      <c r="B29" s="8" t="inlineStr">
        <is>
          <t>Iron Table</t>
        </is>
      </c>
      <c r="C29" s="9" t="n">
        <v>2</v>
      </c>
      <c r="D29" s="9" t="n">
        <v>0</v>
      </c>
      <c r="E29" s="9" t="n">
        <v>5</v>
      </c>
      <c r="F29" s="9">
        <f>IFERROR(MIN(C29,D29)*E29/C29,0)</f>
        <v/>
      </c>
      <c r="G29" s="9" t="n"/>
    </row>
    <row r="30">
      <c r="A30" s="10" t="inlineStr">
        <is>
          <t>Sum</t>
        </is>
      </c>
      <c r="B30" s="11" t="n"/>
      <c r="C30" s="11" t="n"/>
      <c r="D30" s="12" t="n"/>
      <c r="E30" s="10">
        <f>SUM(E16:E29)</f>
        <v/>
      </c>
      <c r="F30" s="10">
        <f>SUM(F16:F29)</f>
        <v/>
      </c>
      <c r="G30" s="13" t="n"/>
    </row>
    <row r="31">
      <c r="A31" s="10" t="inlineStr">
        <is>
          <t>Score out of 100</t>
        </is>
      </c>
      <c r="B31" s="11" t="n"/>
      <c r="C31" s="11" t="n"/>
      <c r="D31" s="11" t="n"/>
      <c r="E31" s="12" t="n"/>
      <c r="F31" s="10">
        <f>F30/E30*100</f>
        <v/>
      </c>
      <c r="G31" s="13" t="n"/>
    </row>
    <row r="32" ht="9.75" customHeight="1"/>
    <row r="33">
      <c r="A33" s="10" t="inlineStr">
        <is>
          <t xml:space="preserve">Total achieved points out of 30  </t>
        </is>
      </c>
      <c r="B33" s="11" t="n"/>
      <c r="C33" s="11" t="n"/>
      <c r="D33" s="11" t="n"/>
      <c r="E33" s="12" t="n"/>
      <c r="F33" s="10">
        <f>F31*30/100</f>
        <v/>
      </c>
      <c r="G33" s="10" t="inlineStr">
        <is>
          <t>Points</t>
        </is>
      </c>
    </row>
  </sheetData>
  <mergeCells count="8">
    <mergeCell ref="A32:G32"/>
    <mergeCell ref="A13:G13"/>
    <mergeCell ref="C7:G7"/>
    <mergeCell ref="A1:G1"/>
    <mergeCell ref="A30:D30"/>
    <mergeCell ref="A33:E33"/>
    <mergeCell ref="A31:E31"/>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Installation &amp; Maintenance (Construction)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Electrical Installation &amp; Maintenance (Construction)</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&amp; Maintenance (Construction),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Channel wiring practice board/booth</t>
        </is>
      </c>
      <c r="C18" s="9" t="n">
        <v>25</v>
      </c>
      <c r="D18" s="9" t="n">
        <v>0</v>
      </c>
      <c r="E18" s="9" t="n">
        <v>8</v>
      </c>
      <c r="F18" s="9">
        <f>IFERROR(MIN(C18,D18)*E18/C18,0)</f>
        <v/>
      </c>
      <c r="G18" s="9" t="n"/>
    </row>
    <row r="19" ht="14.15" customHeight="1">
      <c r="A19" s="7" t="n">
        <v>4</v>
      </c>
      <c r="B19" s="8" t="inlineStr">
        <is>
          <t>Concealed wiring practice booth/wall</t>
        </is>
      </c>
      <c r="C19" s="9" t="n">
        <v>5</v>
      </c>
      <c r="D19" s="9" t="n">
        <v>0</v>
      </c>
      <c r="E19" s="9" t="n">
        <v>8</v>
      </c>
      <c r="F19" s="9">
        <f>IFERROR(MIN(C19,D19)*E19/C19,0)</f>
        <v/>
      </c>
      <c r="G19" s="9" t="n"/>
    </row>
    <row r="20" ht="14.15" customHeight="1">
      <c r="A20" s="7" t="n">
        <v>5</v>
      </c>
      <c r="B20" s="8" t="inlineStr">
        <is>
          <t>Main Distribution Board with busbar, CB and other accessories (Training model)</t>
        </is>
      </c>
      <c r="C20" s="9" t="n">
        <v>5</v>
      </c>
      <c r="D20" s="9" t="n">
        <v>0</v>
      </c>
      <c r="E20" s="9" t="n">
        <v>8</v>
      </c>
      <c r="F20" s="9">
        <f>IFERROR(MIN(C20,D20)*E20/C20,0)</f>
        <v/>
      </c>
      <c r="G20" s="9" t="n"/>
    </row>
    <row r="21" ht="14.15" customHeight="1">
      <c r="A21" s="7" t="n">
        <v>6</v>
      </c>
      <c r="B21" s="8" t="inlineStr">
        <is>
          <t>Sub Distribution Board with busbar, CB and other accessories (Training model)</t>
        </is>
      </c>
      <c r="C21" s="9" t="n">
        <v>5</v>
      </c>
      <c r="D21" s="9" t="n">
        <v>0</v>
      </c>
      <c r="E21" s="9" t="n">
        <v>8</v>
      </c>
      <c r="F21" s="9">
        <f>IFERROR(MIN(C21,D21)*E21/C21,0)</f>
        <v/>
      </c>
      <c r="G21" s="9" t="n"/>
    </row>
    <row r="22" ht="14.15" customHeight="1">
      <c r="A22" s="7" t="n">
        <v>7</v>
      </c>
      <c r="B22" s="8" t="inlineStr">
        <is>
          <t>DOL Starter</t>
        </is>
      </c>
      <c r="C22" s="9" t="n">
        <v>10</v>
      </c>
      <c r="D22" s="9" t="n">
        <v>0</v>
      </c>
      <c r="E22" s="9" t="n">
        <v>7</v>
      </c>
      <c r="F22" s="9">
        <f>IFERROR(MIN(C22,D22)*E22/C22,0)</f>
        <v/>
      </c>
      <c r="G22" s="9" t="n"/>
    </row>
    <row r="23" ht="14.15" customHeight="1">
      <c r="A23" s="7" t="n">
        <v>8</v>
      </c>
      <c r="B23" s="8" t="inlineStr">
        <is>
          <t>Generator (2 to 5 KW)</t>
        </is>
      </c>
      <c r="C23" s="9" t="n">
        <v>1</v>
      </c>
      <c r="D23" s="9" t="n">
        <v>0</v>
      </c>
      <c r="E23" s="9" t="n">
        <v>8</v>
      </c>
      <c r="F23" s="9">
        <f>IFERROR(MIN(C23,D23)*E23/C23,0)</f>
        <v/>
      </c>
      <c r="G23" s="9" t="n"/>
    </row>
    <row r="24" ht="14.15" customHeight="1">
      <c r="A24" s="7" t="n">
        <v>9</v>
      </c>
      <c r="B24" s="8" t="inlineStr">
        <is>
          <t>ATS</t>
        </is>
      </c>
      <c r="C24" s="9" t="n">
        <v>3</v>
      </c>
      <c r="D24" s="9" t="n">
        <v>0</v>
      </c>
      <c r="E24" s="9" t="n">
        <v>6</v>
      </c>
      <c r="F24" s="9">
        <f>IFERROR(MIN(C24,D24)*E24/C24,0)</f>
        <v/>
      </c>
      <c r="G24" s="9" t="n"/>
    </row>
    <row r="25" ht="14.15" customHeight="1">
      <c r="A25" s="7" t="n">
        <v>10</v>
      </c>
      <c r="B25" s="8" t="inlineStr">
        <is>
          <t>Changeover switch</t>
        </is>
      </c>
      <c r="C25" s="9" t="n">
        <v>3</v>
      </c>
      <c r="D25" s="9" t="n">
        <v>0</v>
      </c>
      <c r="E25" s="9" t="n">
        <v>5</v>
      </c>
      <c r="F25" s="9">
        <f>IFERROR(MIN(C25,D25)*E25/C25,0)</f>
        <v/>
      </c>
      <c r="G25" s="9" t="n"/>
    </row>
    <row r="26" ht="14.15" customHeight="1">
      <c r="A26" s="7" t="n">
        <v>11</v>
      </c>
      <c r="B26" s="8" t="inlineStr">
        <is>
          <t>Solar power system (Solar panel, battery, charge controller and load)</t>
        </is>
      </c>
      <c r="C26" s="9" t="n">
        <v>5</v>
      </c>
      <c r="D26" s="9" t="n">
        <v>0</v>
      </c>
      <c r="E26" s="9" t="n">
        <v>8</v>
      </c>
      <c r="F26" s="9">
        <f>IFERROR(MIN(C26,D26)*E26/C26,0)</f>
        <v/>
      </c>
      <c r="G26" s="9" t="n"/>
    </row>
    <row r="27" ht="14.15" customHeight="1">
      <c r="A27" s="7" t="n">
        <v>12</v>
      </c>
      <c r="B27" s="8" t="inlineStr">
        <is>
          <t>Electric drill machine</t>
        </is>
      </c>
      <c r="C27" s="9" t="n">
        <v>10</v>
      </c>
      <c r="D27" s="9" t="n">
        <v>0</v>
      </c>
      <c r="E27" s="9" t="n">
        <v>5</v>
      </c>
      <c r="F27" s="9">
        <f>IFERROR(MIN(C27,D27)*E27/C27,0)</f>
        <v/>
      </c>
      <c r="G27" s="9" t="n"/>
    </row>
    <row r="28" ht="14.15" customHeight="1">
      <c r="A28" s="7" t="n">
        <v>13</v>
      </c>
      <c r="B28" s="8" t="inlineStr">
        <is>
          <t>Electric grinding machine</t>
        </is>
      </c>
      <c r="C28" s="9" t="n">
        <v>10</v>
      </c>
      <c r="D28" s="9" t="n">
        <v>0</v>
      </c>
      <c r="E28" s="9" t="n">
        <v>5</v>
      </c>
      <c r="F28" s="9">
        <f>IFERROR(MIN(C28,D28)*E28/C28,0)</f>
        <v/>
      </c>
      <c r="G28" s="9" t="n"/>
    </row>
    <row r="29" ht="14.15" customHeight="1">
      <c r="A29" s="7" t="n">
        <v>14</v>
      </c>
      <c r="B29" s="8" t="inlineStr">
        <is>
          <t>Energy Meter (1 Phase)</t>
        </is>
      </c>
      <c r="C29" s="9" t="n">
        <v>10</v>
      </c>
      <c r="D29" s="9" t="n">
        <v>0</v>
      </c>
      <c r="E29" s="9" t="n">
        <v>6</v>
      </c>
      <c r="F29" s="9">
        <f>IFERROR(MIN(C29,D29)*E29/C29,0)</f>
        <v/>
      </c>
      <c r="G29" s="9" t="n"/>
    </row>
    <row r="30" ht="14.15" customHeight="1">
      <c r="A30" s="7" t="n">
        <v>15</v>
      </c>
      <c r="B30" s="8" t="inlineStr">
        <is>
          <t>Energy Meter (3 Phase)</t>
        </is>
      </c>
      <c r="C30" s="9" t="n">
        <v>5</v>
      </c>
      <c r="D30" s="9" t="n">
        <v>0</v>
      </c>
      <c r="E30" s="9" t="n">
        <v>6</v>
      </c>
      <c r="F30" s="9">
        <f>IFERROR(MIN(C30,D30)*E30/C30,0)</f>
        <v/>
      </c>
      <c r="G30" s="9" t="n"/>
    </row>
    <row r="31" ht="14.15" customHeight="1">
      <c r="A31" s="7" t="n">
        <v>16</v>
      </c>
      <c r="B31" s="8" t="inlineStr">
        <is>
          <t>Earth tester</t>
        </is>
      </c>
      <c r="C31" s="9" t="n">
        <v>2</v>
      </c>
      <c r="D31" s="9" t="n">
        <v>0</v>
      </c>
      <c r="E31" s="9" t="n">
        <v>6</v>
      </c>
      <c r="F31" s="9">
        <f>IFERROR(MIN(C31,D31)*E31/C31,0)</f>
        <v/>
      </c>
      <c r="G31" s="9" t="n"/>
    </row>
    <row r="32" ht="14.15" customHeight="1">
      <c r="A32" s="7" t="n">
        <v>17</v>
      </c>
      <c r="B32" s="8" t="inlineStr">
        <is>
          <t>Megger</t>
        </is>
      </c>
      <c r="C32" s="9" t="n">
        <v>2</v>
      </c>
      <c r="D32" s="9" t="n">
        <v>0</v>
      </c>
      <c r="E32" s="9" t="n">
        <v>6</v>
      </c>
      <c r="F32" s="9">
        <f>IFERROR(MIN(C32,D32)*E32/C32,0)</f>
        <v/>
      </c>
      <c r="G32" s="9" t="n"/>
    </row>
    <row r="33" ht="14.15" customHeight="1">
      <c r="A33" s="7" t="n">
        <v>18</v>
      </c>
      <c r="B33" s="8" t="inlineStr">
        <is>
          <t>Phase sequence meter</t>
        </is>
      </c>
      <c r="C33" s="9" t="n">
        <v>1</v>
      </c>
      <c r="D33" s="9" t="n">
        <v>0</v>
      </c>
      <c r="E33" s="9" t="n">
        <v>5</v>
      </c>
      <c r="F33" s="9">
        <f>IFERROR(MIN(C33,D33)*E33/C33,0)</f>
        <v/>
      </c>
      <c r="G33" s="9" t="n"/>
    </row>
    <row r="34" ht="14.15" customHeight="1">
      <c r="A34" s="7" t="n">
        <v>19</v>
      </c>
      <c r="B34" s="8" t="inlineStr">
        <is>
          <t>Single phase induction motor</t>
        </is>
      </c>
      <c r="C34" s="9" t="n">
        <v>5</v>
      </c>
      <c r="D34" s="9" t="n">
        <v>0</v>
      </c>
      <c r="E34" s="9" t="n">
        <v>7</v>
      </c>
      <c r="F34" s="9">
        <f>IFERROR(MIN(C34,D34)*E34/C34,0)</f>
        <v/>
      </c>
      <c r="G34" s="9" t="n"/>
    </row>
    <row r="35" ht="14.15" customHeight="1">
      <c r="A35" s="7" t="n">
        <v>20</v>
      </c>
      <c r="B35" s="8" t="inlineStr">
        <is>
          <t>Three phase induction motor</t>
        </is>
      </c>
      <c r="C35" s="9" t="n">
        <v>3</v>
      </c>
      <c r="D35" s="9" t="n">
        <v>0</v>
      </c>
      <c r="E35" s="9" t="n">
        <v>7</v>
      </c>
      <c r="F35" s="9">
        <f>IFERROR(MIN(C35,D35)*E35/C35,0)</f>
        <v/>
      </c>
      <c r="G35" s="9" t="n"/>
    </row>
    <row r="36" ht="14.15" customHeight="1">
      <c r="A36" s="7" t="n">
        <v>21</v>
      </c>
      <c r="B36" s="8" t="inlineStr">
        <is>
          <t>Ceiling fan</t>
        </is>
      </c>
      <c r="C36" s="9" t="n">
        <v>5</v>
      </c>
      <c r="D36" s="9" t="n">
        <v>0</v>
      </c>
      <c r="E36" s="9" t="n">
        <v>4</v>
      </c>
      <c r="F36" s="9">
        <f>IFERROR(MIN(C36,D36)*E36/C36,0)</f>
        <v/>
      </c>
      <c r="G36" s="9" t="n"/>
    </row>
    <row r="37" ht="14.15" customHeight="1">
      <c r="A37" s="7" t="n">
        <v>22</v>
      </c>
      <c r="B37" s="8" t="inlineStr">
        <is>
          <t>Pump Motor</t>
        </is>
      </c>
      <c r="C37" s="9" t="n">
        <v>2</v>
      </c>
      <c r="D37" s="9" t="n">
        <v>0</v>
      </c>
      <c r="E37" s="9" t="n">
        <v>6</v>
      </c>
      <c r="F37" s="9">
        <f>IFERROR(MIN(C37,D37)*E37/C37,0)</f>
        <v/>
      </c>
      <c r="G37" s="9" t="n"/>
    </row>
    <row r="38" ht="14.15" customHeight="1">
      <c r="A38" s="7" t="n">
        <v>23</v>
      </c>
      <c r="B38" s="8" t="inlineStr">
        <is>
          <t>Bench Vice</t>
        </is>
      </c>
      <c r="C38" s="9" t="n">
        <v>5</v>
      </c>
      <c r="D38" s="9" t="n">
        <v>0</v>
      </c>
      <c r="E38" s="9" t="n">
        <v>4</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Interior Design and Decoration  Fit Out Management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Interior Design and Decoration  Fit Out Management</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Interior Design and Decoration  Fit Out Management,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Laptop/Desktop</t>
        </is>
      </c>
      <c r="C16" s="9" t="n">
        <v>1</v>
      </c>
      <c r="D16" s="9" t="n">
        <v>0</v>
      </c>
      <c r="E16" s="9" t="n">
        <v>5</v>
      </c>
      <c r="F16" s="9">
        <f>IFERROR(MIN(C16,D16)*E16/C16,0)</f>
        <v/>
      </c>
      <c r="G16" s="9" t="n"/>
    </row>
    <row r="17" ht="14.15" customHeight="1">
      <c r="A17" s="7" t="n">
        <v>2</v>
      </c>
      <c r="B17" s="8" t="inlineStr">
        <is>
          <t>Color Printer</t>
        </is>
      </c>
      <c r="C17" s="9" t="n">
        <v>1</v>
      </c>
      <c r="D17" s="9" t="n">
        <v>0</v>
      </c>
      <c r="E17" s="9" t="n">
        <v>5</v>
      </c>
      <c r="F17" s="9">
        <f>IFERROR(MIN(C17,D17)*E17/C17,0)</f>
        <v/>
      </c>
      <c r="G17" s="9" t="n"/>
    </row>
    <row r="18" ht="14.15" customHeight="1">
      <c r="A18" s="7" t="n">
        <v>3</v>
      </c>
      <c r="B18" s="8" t="inlineStr">
        <is>
          <t>Scanner</t>
        </is>
      </c>
      <c r="C18" s="9" t="n">
        <v>1</v>
      </c>
      <c r="D18" s="9" t="n">
        <v>0</v>
      </c>
      <c r="E18" s="9" t="n">
        <v>5</v>
      </c>
      <c r="F18" s="9">
        <f>IFERROR(MIN(C18,D18)*E18/C18,0)</f>
        <v/>
      </c>
      <c r="G18" s="9" t="n"/>
    </row>
    <row r="19" ht="14.15" customHeight="1">
      <c r="A19" s="7" t="n">
        <v>4</v>
      </c>
      <c r="B19" s="8" t="inlineStr">
        <is>
          <t>Projector or Large Display Screen</t>
        </is>
      </c>
      <c r="C19" s="9" t="n">
        <v>1</v>
      </c>
      <c r="D19" s="9" t="n">
        <v>0</v>
      </c>
      <c r="E19" s="9" t="n">
        <v>5</v>
      </c>
      <c r="F19" s="9">
        <f>IFERROR(MIN(C19,D19)*E19/C19,0)</f>
        <v/>
      </c>
      <c r="G19" s="9" t="n"/>
    </row>
    <row r="20" ht="14.15" customHeight="1">
      <c r="A20" s="7" t="n">
        <v>5</v>
      </c>
      <c r="B20" s="8" t="inlineStr">
        <is>
          <t>White board</t>
        </is>
      </c>
      <c r="C20" s="9" t="n">
        <v>1</v>
      </c>
      <c r="D20" s="9" t="n">
        <v>0</v>
      </c>
      <c r="E20" s="9" t="n">
        <v>4</v>
      </c>
      <c r="F20" s="9">
        <f>IFERROR(MIN(C20,D20)*E20/C20,0)</f>
        <v/>
      </c>
      <c r="G20" s="9" t="n"/>
    </row>
    <row r="21" ht="14.15" customHeight="1">
      <c r="A21" s="7" t="n">
        <v>6</v>
      </c>
      <c r="B21" s="8" t="inlineStr">
        <is>
          <t>Color chart</t>
        </is>
      </c>
      <c r="C21" s="9" t="n">
        <v>1</v>
      </c>
      <c r="D21" s="9" t="n">
        <v>0</v>
      </c>
      <c r="E21" s="9" t="n">
        <v>4</v>
      </c>
      <c r="F21" s="9">
        <f>IFERROR(MIN(C21,D21)*E21/C21,0)</f>
        <v/>
      </c>
      <c r="G21" s="9" t="n"/>
    </row>
    <row r="22" ht="14.15" customHeight="1">
      <c r="A22" s="7" t="n">
        <v>7</v>
      </c>
      <c r="B22" s="8" t="inlineStr">
        <is>
          <t>Swatches of Materials</t>
        </is>
      </c>
      <c r="C22" s="9" t="n">
        <v>25</v>
      </c>
      <c r="D22" s="9" t="n">
        <v>0</v>
      </c>
      <c r="E22" s="9" t="n">
        <v>7</v>
      </c>
      <c r="F22" s="9">
        <f>IFERROR(MIN(C22,D22)*E22/C22,0)</f>
        <v/>
      </c>
      <c r="G22" s="9" t="n"/>
    </row>
    <row r="23" ht="14.15" customHeight="1">
      <c r="A23" s="7" t="n">
        <v>8</v>
      </c>
      <c r="B23" s="8" t="inlineStr">
        <is>
          <t>Drawing Board</t>
        </is>
      </c>
      <c r="C23" s="9" t="n">
        <v>1</v>
      </c>
      <c r="D23" s="9" t="n">
        <v>0</v>
      </c>
      <c r="E23" s="9" t="n">
        <v>7</v>
      </c>
      <c r="F23" s="9">
        <f>IFERROR(MIN(C23,D23)*E23/C23,0)</f>
        <v/>
      </c>
      <c r="G23" s="9" t="n"/>
    </row>
    <row r="24" ht="14.15" customHeight="1">
      <c r="A24" s="7" t="n">
        <v>9</v>
      </c>
      <c r="B24" s="8" t="inlineStr">
        <is>
          <t>T-Square</t>
        </is>
      </c>
      <c r="C24" s="9" t="n">
        <v>1</v>
      </c>
      <c r="D24" s="9" t="n">
        <v>0</v>
      </c>
      <c r="E24" s="9" t="n">
        <v>4</v>
      </c>
      <c r="F24" s="9">
        <f>IFERROR(MIN(C24,D24)*E24/C24,0)</f>
        <v/>
      </c>
      <c r="G24" s="9" t="n"/>
    </row>
    <row r="25" ht="14.15" customHeight="1">
      <c r="A25" s="7" t="n">
        <v>10</v>
      </c>
      <c r="B25" s="8" t="inlineStr">
        <is>
          <t>Set Squares &amp; Scale Rulers</t>
        </is>
      </c>
      <c r="C25" s="9" t="n">
        <v>1</v>
      </c>
      <c r="D25" s="9" t="n">
        <v>0</v>
      </c>
      <c r="E25" s="9" t="n">
        <v>4</v>
      </c>
      <c r="F25" s="9">
        <f>IFERROR(MIN(C25,D25)*E25/C25,0)</f>
        <v/>
      </c>
      <c r="G25" s="9" t="n"/>
    </row>
    <row r="26" ht="14.15" customHeight="1">
      <c r="A26" s="7" t="n">
        <v>11</v>
      </c>
      <c r="B26" s="8" t="inlineStr">
        <is>
          <t>Compass &amp; Protractor</t>
        </is>
      </c>
      <c r="C26" s="9" t="n">
        <v>1</v>
      </c>
      <c r="D26" s="9" t="n">
        <v>0</v>
      </c>
      <c r="E26" s="9" t="n">
        <v>4</v>
      </c>
      <c r="F26" s="9">
        <f>IFERROR(MIN(C26,D26)*E26/C26,0)</f>
        <v/>
      </c>
      <c r="G26" s="9" t="n"/>
    </row>
    <row r="27" ht="14.15" customHeight="1">
      <c r="A27" s="7" t="n">
        <v>12</v>
      </c>
      <c r="B27" s="8" t="inlineStr">
        <is>
          <t>Measuring Tape &amp; Laser Distance Meter</t>
        </is>
      </c>
      <c r="C27" s="9" t="n">
        <v>1</v>
      </c>
      <c r="D27" s="9" t="n">
        <v>0</v>
      </c>
      <c r="E27" s="9" t="n">
        <v>5</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IT Support Technique &amp; Mobile Phone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IT Support Technique &amp; Mobile Phone Servicing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IT Support Technique &amp; Mobile Phone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8</v>
      </c>
      <c r="F16" s="9">
        <f>IFERROR(MIN(C16,D16)*E16/C16,0)</f>
        <v/>
      </c>
      <c r="G16" s="9" t="n"/>
    </row>
    <row r="17" ht="14.15" customHeight="1">
      <c r="A17" s="7" t="n">
        <v>2</v>
      </c>
      <c r="B17" s="8" t="inlineStr">
        <is>
          <t>Printer</t>
        </is>
      </c>
      <c r="C17" s="9" t="n">
        <v>1</v>
      </c>
      <c r="D17" s="9" t="n">
        <v>0</v>
      </c>
      <c r="E17" s="9" t="n">
        <v>6</v>
      </c>
      <c r="F17" s="9">
        <f>IFERROR(MIN(C17,D17)*E17/C17,0)</f>
        <v/>
      </c>
      <c r="G17" s="9" t="n"/>
    </row>
    <row r="18" ht="14.15" customHeight="1">
      <c r="A18" s="7" t="n">
        <v>3</v>
      </c>
      <c r="B18" s="8" t="inlineStr">
        <is>
          <t>Scanner</t>
        </is>
      </c>
      <c r="C18" s="9" t="n">
        <v>1</v>
      </c>
      <c r="D18" s="9" t="n">
        <v>0</v>
      </c>
      <c r="E18" s="9" t="n">
        <v>6</v>
      </c>
      <c r="F18" s="9">
        <f>IFERROR(MIN(C18,D18)*E18/C18,0)</f>
        <v/>
      </c>
      <c r="G18" s="9" t="n"/>
    </row>
    <row r="19" ht="14.15" customHeight="1">
      <c r="A19" s="7" t="n">
        <v>4</v>
      </c>
      <c r="B19" s="8" t="inlineStr">
        <is>
          <t>Computers/Laptop: 
(Minimum Intel Core i5 processor (8th Gen), 8GB RAM (16GB preferred), 500GB SSD/HDD storage (1TB preferred), High-resolution monitors (19/20-inch minimum, with color accuracy).</t>
        </is>
      </c>
      <c r="C19" s="9" t="n">
        <v>25</v>
      </c>
      <c r="D19" s="9" t="n">
        <v>0</v>
      </c>
      <c r="E19" s="9" t="n">
        <v>10</v>
      </c>
      <c r="F19" s="9">
        <f>IFERROR(MIN(C19,D19)*E19/C19,0)</f>
        <v/>
      </c>
      <c r="G19" s="9" t="n"/>
    </row>
    <row r="20" ht="14.15" customHeight="1">
      <c r="A20" s="7"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7" t="n">
        <v>6</v>
      </c>
      <c r="B21" s="8" t="inlineStr">
        <is>
          <t>Network Devices (Switches and Wi-Fi Routers)</t>
        </is>
      </c>
      <c r="C21" s="9" t="n">
        <v>5</v>
      </c>
      <c r="D21" s="9" t="n">
        <v>0</v>
      </c>
      <c r="E21" s="9" t="n">
        <v>9</v>
      </c>
      <c r="F21" s="9">
        <f>IFERROR(MIN(C21,D21)*E21/C21,0)</f>
        <v/>
      </c>
      <c r="G21" s="9" t="inlineStr">
        <is>
          <t>05 sets</t>
        </is>
      </c>
    </row>
    <row r="22" ht="14.15" customHeight="1">
      <c r="A22" s="7" t="n">
        <v>7</v>
      </c>
      <c r="B22" s="8" t="inlineStr">
        <is>
          <t>Network tools (Clamping tools and cable testers)</t>
        </is>
      </c>
      <c r="C22" s="9" t="n">
        <v>10</v>
      </c>
      <c r="D22" s="9" t="n">
        <v>0</v>
      </c>
      <c r="E22" s="9" t="n">
        <v>8</v>
      </c>
      <c r="F22" s="9">
        <f>IFERROR(MIN(C22,D22)*E22/C22,0)</f>
        <v/>
      </c>
      <c r="G22" s="9" t="inlineStr">
        <is>
          <t>10 sets each</t>
        </is>
      </c>
    </row>
    <row r="23" ht="14.15" customHeight="1">
      <c r="A23" s="7" t="n">
        <v>8</v>
      </c>
      <c r="B23" s="8" t="inlineStr">
        <is>
          <t>Network Cables (UTP and Fiber Optics)</t>
        </is>
      </c>
      <c r="C23" s="9" t="n">
        <v>100</v>
      </c>
      <c r="D23" s="9" t="n">
        <v>0</v>
      </c>
      <c r="E23" s="9" t="n">
        <v>7</v>
      </c>
      <c r="F23" s="9">
        <f>IFERROR(MIN(C23,D23)*E23/C23,0)</f>
        <v/>
      </c>
      <c r="G23" s="9" t="inlineStr">
        <is>
          <t>100 meters</t>
        </is>
      </c>
    </row>
    <row r="24" ht="14.15" customHeight="1">
      <c r="A24" s="7" t="n">
        <v>9</v>
      </c>
      <c r="B24" s="8" t="inlineStr">
        <is>
          <t>Connectors (RJ 45, MTP/MPO)</t>
        </is>
      </c>
      <c r="C24" s="9" t="n">
        <v>100</v>
      </c>
      <c r="D24" s="9" t="n">
        <v>0</v>
      </c>
      <c r="E24" s="9" t="n">
        <v>4</v>
      </c>
      <c r="F24" s="9">
        <f>IFERROR(MIN(C24,D24)*E24/C24,0)</f>
        <v/>
      </c>
      <c r="G24" s="9" t="n"/>
    </row>
    <row r="25" ht="14.15" customHeight="1">
      <c r="A25" s="7" t="n">
        <v>10</v>
      </c>
      <c r="B25" s="8" t="inlineStr">
        <is>
          <t>Ergonomic chairs and desks</t>
        </is>
      </c>
      <c r="C25" s="9" t="n">
        <v>25</v>
      </c>
      <c r="D25" s="9" t="n">
        <v>0</v>
      </c>
      <c r="E25" s="9" t="n">
        <v>3</v>
      </c>
      <c r="F25" s="9">
        <f>IFERROR(MIN(C25,D25)*E25/C25,0)</f>
        <v/>
      </c>
      <c r="G25" s="9" t="n"/>
    </row>
    <row r="26" ht="14.15" customHeight="1">
      <c r="A26" s="7" t="n">
        <v>11</v>
      </c>
      <c r="B26" s="8" t="inlineStr">
        <is>
          <t>Internet connectivity with power back-up</t>
        </is>
      </c>
      <c r="C26" s="9" t="n">
        <v>1</v>
      </c>
      <c r="D26" s="9" t="n">
        <v>0</v>
      </c>
      <c r="E26" s="9" t="n">
        <v>7</v>
      </c>
      <c r="F26" s="9">
        <f>IFERROR(MIN(C26,D26)*E26/C26,0)</f>
        <v/>
      </c>
      <c r="G26" s="9" t="n"/>
    </row>
    <row r="27" ht="14.15" customHeight="1">
      <c r="A27" s="7" t="n">
        <v>12</v>
      </c>
      <c r="B27" s="8" t="inlineStr">
        <is>
          <t>Soldering Stations</t>
        </is>
      </c>
      <c r="C27" s="9" t="n">
        <v>25</v>
      </c>
      <c r="D27" s="9" t="n">
        <v>0</v>
      </c>
      <c r="E27" s="9" t="n">
        <v>8</v>
      </c>
      <c r="F27" s="9">
        <f>IFERROR(MIN(C27,D27)*E27/C27,0)</f>
        <v/>
      </c>
      <c r="G27" s="9" t="n"/>
    </row>
    <row r="28" ht="14.15" customHeight="1">
      <c r="A28" s="7" t="n">
        <v>13</v>
      </c>
      <c r="B28" s="8" t="inlineStr">
        <is>
          <t>Soldering Irons</t>
        </is>
      </c>
      <c r="C28" s="9" t="n">
        <v>25</v>
      </c>
      <c r="D28" s="9" t="n">
        <v>0</v>
      </c>
      <c r="E28" s="9" t="n">
        <v>8</v>
      </c>
      <c r="F28" s="9">
        <f>IFERROR(MIN(C28,D28)*E28/C28,0)</f>
        <v/>
      </c>
      <c r="G28" s="9" t="n"/>
    </row>
    <row r="29" ht="14.15" customHeight="1">
      <c r="A29" s="7" t="n">
        <v>14</v>
      </c>
      <c r="B29" s="8" t="inlineStr">
        <is>
          <t>Hoyt air gun</t>
        </is>
      </c>
      <c r="C29" s="9" t="n">
        <v>25</v>
      </c>
      <c r="D29" s="9" t="n">
        <v>0</v>
      </c>
      <c r="E29" s="9" t="n">
        <v>7</v>
      </c>
      <c r="F29" s="9">
        <f>IFERROR(MIN(C29,D29)*E29/C29,0)</f>
        <v/>
      </c>
      <c r="G29" s="9" t="n"/>
    </row>
    <row r="30" ht="14.15" customHeight="1">
      <c r="A30" s="7" t="n">
        <v>15</v>
      </c>
      <c r="B30" s="8" t="inlineStr">
        <is>
          <t>Multimeters</t>
        </is>
      </c>
      <c r="C30" s="9" t="n">
        <v>25</v>
      </c>
      <c r="D30" s="9" t="n">
        <v>0</v>
      </c>
      <c r="E30" s="9" t="n">
        <v>8</v>
      </c>
      <c r="F30" s="9">
        <f>IFERROR(MIN(C30,D30)*E30/C30,0)</f>
        <v/>
      </c>
      <c r="G30" s="9" t="n"/>
    </row>
    <row r="31" ht="14.15" customHeight="1">
      <c r="A31" s="7" t="n">
        <v>16</v>
      </c>
      <c r="B31" s="8" t="inlineStr">
        <is>
          <t>Power Supply Units</t>
        </is>
      </c>
      <c r="C31" s="9" t="n">
        <v>25</v>
      </c>
      <c r="D31" s="9" t="n">
        <v>0</v>
      </c>
      <c r="E31" s="9" t="n">
        <v>7</v>
      </c>
      <c r="F31" s="9">
        <f>IFERROR(MIN(C31,D31)*E31/C31,0)</f>
        <v/>
      </c>
      <c r="G31" s="9" t="n"/>
    </row>
    <row r="32" ht="14.15" customHeight="1">
      <c r="A32" s="7" t="n">
        <v>17</v>
      </c>
      <c r="B32" s="8" t="inlineStr">
        <is>
          <t>Battery Testers</t>
        </is>
      </c>
      <c r="C32" s="9" t="n">
        <v>5</v>
      </c>
      <c r="D32" s="9" t="n">
        <v>0</v>
      </c>
      <c r="E32" s="9" t="n">
        <v>6</v>
      </c>
      <c r="F32" s="9">
        <f>IFERROR(MIN(C32,D32)*E32/C32,0)</f>
        <v/>
      </c>
      <c r="G32" s="9" t="n"/>
    </row>
    <row r="33" ht="14.15" customHeight="1">
      <c r="A33" s="7" t="n">
        <v>18</v>
      </c>
      <c r="B33" s="8" t="inlineStr">
        <is>
          <t>Screen Testing Jigs (for LCD and touchscreens)</t>
        </is>
      </c>
      <c r="C33" s="9" t="n">
        <v>1</v>
      </c>
      <c r="D33" s="9" t="n">
        <v>0</v>
      </c>
      <c r="E33" s="9" t="n">
        <v>6</v>
      </c>
      <c r="F33" s="9">
        <f>IFERROR(MIN(C33,D33)*E33/C33,0)</f>
        <v/>
      </c>
      <c r="G33" s="9" t="n"/>
    </row>
    <row r="34" ht="14.15" customHeight="1">
      <c r="A34" s="7" t="n">
        <v>19</v>
      </c>
      <c r="B34" s="8" t="inlineStr">
        <is>
          <t>USB Testers (for current and voltage checks)</t>
        </is>
      </c>
      <c r="C34" s="9" t="n">
        <v>5</v>
      </c>
      <c r="D34" s="9" t="n">
        <v>0</v>
      </c>
      <c r="E34" s="9" t="n">
        <v>5</v>
      </c>
      <c r="F34" s="9">
        <f>IFERROR(MIN(C34,D34)*E34/C34,0)</f>
        <v/>
      </c>
      <c r="G34" s="9" t="n"/>
    </row>
    <row r="35" ht="14.15" customHeight="1">
      <c r="A35" s="7" t="n">
        <v>20</v>
      </c>
      <c r="B35" s="8" t="inlineStr">
        <is>
          <t>Screwdrivers Set (Precision set, including Phillips and flathead)</t>
        </is>
      </c>
      <c r="C35" s="9" t="n">
        <v>25</v>
      </c>
      <c r="D35" s="9" t="n">
        <v>0</v>
      </c>
      <c r="E35" s="9" t="n">
        <v>4</v>
      </c>
      <c r="F35" s="9">
        <f>IFERROR(MIN(C35,D35)*E35/C35,0)</f>
        <v/>
      </c>
      <c r="G35" s="9" t="n"/>
    </row>
    <row r="36" ht="14.15" customHeight="1">
      <c r="A36" s="7" t="n">
        <v>21</v>
      </c>
      <c r="B36" s="8" t="inlineStr">
        <is>
          <t>Tweezers (ESD-safe, various sizes)</t>
        </is>
      </c>
      <c r="C36" s="9" t="n">
        <v>25</v>
      </c>
      <c r="D36" s="9" t="n">
        <v>0</v>
      </c>
      <c r="E36" s="9" t="n">
        <v>3</v>
      </c>
      <c r="F36" s="9">
        <f>IFERROR(MIN(C36,D36)*E36/C36,0)</f>
        <v/>
      </c>
      <c r="G36" s="9" t="n"/>
    </row>
    <row r="37" ht="14.15" customHeight="1">
      <c r="A37" s="7" t="n">
        <v>22</v>
      </c>
      <c r="B37" s="8" t="inlineStr">
        <is>
          <t>Opening Tools</t>
        </is>
      </c>
      <c r="C37" s="9" t="n">
        <v>25</v>
      </c>
      <c r="D37" s="9" t="n">
        <v>0</v>
      </c>
      <c r="E37" s="9" t="n">
        <v>3</v>
      </c>
      <c r="F37" s="9">
        <f>IFERROR(MIN(C37,D37)*E37/C37,0)</f>
        <v/>
      </c>
      <c r="G37" s="9" t="n"/>
    </row>
    <row r="38" ht="14.15" customHeight="1">
      <c r="A38" s="7" t="n">
        <v>23</v>
      </c>
      <c r="B38" s="8" t="inlineStr">
        <is>
          <t>Suction Cups (for screen removal)</t>
        </is>
      </c>
      <c r="C38" s="9" t="n">
        <v>25</v>
      </c>
      <c r="D38" s="9" t="n">
        <v>0</v>
      </c>
      <c r="E38" s="9" t="n">
        <v>3</v>
      </c>
      <c r="F38" s="9">
        <f>IFERROR(MIN(C38,D38)*E38/C38,0)</f>
        <v/>
      </c>
      <c r="G38" s="9" t="n"/>
    </row>
    <row r="39" ht="14.15" customHeight="1">
      <c r="A39" s="7" t="n">
        <v>24</v>
      </c>
      <c r="B39" s="8" t="inlineStr">
        <is>
          <t>Magnifying Glasses with Lamp</t>
        </is>
      </c>
      <c r="C39" s="9" t="n">
        <v>25</v>
      </c>
      <c r="D39" s="9" t="n">
        <v>0</v>
      </c>
      <c r="E39" s="9" t="n">
        <v>4</v>
      </c>
      <c r="F39" s="9">
        <f>IFERROR(MIN(C39,D39)*E39/C39,0)</f>
        <v/>
      </c>
      <c r="G39" s="9" t="n"/>
    </row>
    <row r="40" ht="14.15" customHeight="1">
      <c r="A40" s="7" t="n">
        <v>25</v>
      </c>
      <c r="B40" s="8" t="inlineStr">
        <is>
          <t>Defective Mobile Phone</t>
        </is>
      </c>
      <c r="C40" s="9" t="n">
        <v>15</v>
      </c>
      <c r="D40" s="9" t="n">
        <v>0</v>
      </c>
      <c r="E40" s="9" t="n">
        <v>8</v>
      </c>
      <c r="F40" s="9">
        <f>IFERROR(MIN(C40,D40)*E40/C40,0)</f>
        <v/>
      </c>
      <c r="G40" s="9" t="n"/>
    </row>
    <row r="41" ht="14.15" customHeight="1">
      <c r="A41" s="7" t="n">
        <v>26</v>
      </c>
      <c r="B41" s="8" t="inlineStr">
        <is>
          <t>New Mobile Phone</t>
        </is>
      </c>
      <c r="C41" s="9" t="n">
        <v>10</v>
      </c>
      <c r="D41" s="9" t="n">
        <v>0</v>
      </c>
      <c r="E41" s="9" t="n">
        <v>7</v>
      </c>
      <c r="F41" s="9">
        <f>IFERROR(MIN(C41,D41)*E41/C41,0)</f>
        <v/>
      </c>
      <c r="G41" s="9" t="n"/>
    </row>
    <row r="42">
      <c r="A42" s="10" t="inlineStr">
        <is>
          <t>Sum</t>
        </is>
      </c>
      <c r="B42" s="11" t="n"/>
      <c r="C42" s="11" t="n"/>
      <c r="D42" s="12" t="n"/>
      <c r="E42" s="10">
        <f>SUM(E16:E41)</f>
        <v/>
      </c>
      <c r="F42" s="10">
        <f>SUM(F16:F41)</f>
        <v/>
      </c>
      <c r="G42" s="13" t="n"/>
    </row>
    <row r="43">
      <c r="A43" s="10" t="inlineStr">
        <is>
          <t>Score out of 100</t>
        </is>
      </c>
      <c r="B43" s="11" t="n"/>
      <c r="C43" s="11" t="n"/>
      <c r="D43" s="11" t="n"/>
      <c r="E43" s="12" t="n"/>
      <c r="F43" s="10">
        <f>F42/E42*100</f>
        <v/>
      </c>
      <c r="G43" s="13" t="n"/>
    </row>
    <row r="44" ht="9.75" customHeight="1"/>
    <row r="45">
      <c r="A45" s="10" t="inlineStr">
        <is>
          <t xml:space="preserve">Total achieved points out of 30  </t>
        </is>
      </c>
      <c r="B45" s="11" t="n"/>
      <c r="C45" s="11" t="n"/>
      <c r="D45" s="11" t="n"/>
      <c r="E45" s="12" t="n"/>
      <c r="F45" s="10">
        <f>F43*30/100</f>
        <v/>
      </c>
      <c r="G45" s="10" t="inlineStr">
        <is>
          <t>Points</t>
        </is>
      </c>
    </row>
  </sheetData>
  <mergeCells count="8">
    <mergeCell ref="A13:G13"/>
    <mergeCell ref="C7:G7"/>
    <mergeCell ref="A44:G44"/>
    <mergeCell ref="A1:G1"/>
    <mergeCell ref="A43:E43"/>
    <mergeCell ref="A42:D42"/>
    <mergeCell ref="A45:E45"/>
    <mergeCell ref="C8:G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Jute Product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Jute Product Development</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Jute Product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 with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Single needle chain stitch machine</t>
        </is>
      </c>
      <c r="C19" s="9" t="n">
        <v>25</v>
      </c>
      <c r="D19" s="9" t="n">
        <v>0</v>
      </c>
      <c r="E19" s="9" t="n">
        <v>9</v>
      </c>
      <c r="F19" s="9">
        <f>IFERROR(MIN(C19,D19)*E19/C19,0)</f>
        <v/>
      </c>
      <c r="G19" s="9" t="n"/>
    </row>
    <row r="20" ht="14.15" customHeight="1">
      <c r="A20" s="7" t="n">
        <v>5</v>
      </c>
      <c r="B20" s="8" t="inlineStr">
        <is>
          <t>Overlock machine</t>
        </is>
      </c>
      <c r="C20" s="9" t="n">
        <v>2</v>
      </c>
      <c r="D20" s="9" t="n">
        <v>0</v>
      </c>
      <c r="E20" s="9" t="n">
        <v>7</v>
      </c>
      <c r="F20" s="9">
        <f>IFERROR(MIN(C20,D20)*E20/C20,0)</f>
        <v/>
      </c>
      <c r="G20" s="9" t="n"/>
    </row>
    <row r="21" ht="14.15" customHeight="1">
      <c r="A21" s="7" t="n">
        <v>6</v>
      </c>
      <c r="B21" s="8" t="inlineStr">
        <is>
          <t>Machine tools</t>
        </is>
      </c>
      <c r="C21" s="9" t="n">
        <v>25</v>
      </c>
      <c r="D21" s="9" t="n">
        <v>0</v>
      </c>
      <c r="E21" s="9" t="n">
        <v>6</v>
      </c>
      <c r="F21" s="9">
        <f>IFERROR(MIN(C21,D21)*E21/C21,0)</f>
        <v/>
      </c>
      <c r="G21" s="9" t="n"/>
    </row>
    <row r="22" ht="14.15" customHeight="1">
      <c r="A22" s="7" t="n">
        <v>7</v>
      </c>
      <c r="B22" s="8" t="inlineStr">
        <is>
          <t>Rotary cutting machine</t>
        </is>
      </c>
      <c r="C22" s="9" t="n">
        <v>1</v>
      </c>
      <c r="D22" s="9" t="n">
        <v>0</v>
      </c>
      <c r="E22" s="9" t="n">
        <v>7</v>
      </c>
      <c r="F22" s="9">
        <f>IFERROR(MIN(C22,D22)*E22/C22,0)</f>
        <v/>
      </c>
      <c r="G22" s="9" t="n"/>
    </row>
    <row r="23" ht="14.15" customHeight="1">
      <c r="A23" s="7" t="n">
        <v>8</v>
      </c>
      <c r="B23" s="8" t="inlineStr">
        <is>
          <t>Cutting table</t>
        </is>
      </c>
      <c r="C23" s="9" t="n">
        <v>1</v>
      </c>
      <c r="D23" s="9" t="n">
        <v>0</v>
      </c>
      <c r="E23" s="9" t="n">
        <v>5</v>
      </c>
      <c r="F23" s="9">
        <f>IFERROR(MIN(C23,D23)*E23/C23,0)</f>
        <v/>
      </c>
      <c r="G23" s="9" t="n"/>
    </row>
    <row r="24" ht="14.15" customHeight="1">
      <c r="A24" s="7" t="n">
        <v>9</v>
      </c>
      <c r="B24" s="8" t="inlineStr">
        <is>
          <t>Cutting tools</t>
        </is>
      </c>
      <c r="C24" s="9" t="n">
        <v>25</v>
      </c>
      <c r="D24" s="9" t="n">
        <v>0</v>
      </c>
      <c r="E24" s="9" t="n">
        <v>4</v>
      </c>
      <c r="F24" s="9">
        <f>IFERROR(MIN(C24,D24)*E24/C24,0)</f>
        <v/>
      </c>
      <c r="G24" s="9" t="n"/>
    </row>
    <row r="25" ht="14.15" customHeight="1">
      <c r="A25" s="7" t="n">
        <v>10</v>
      </c>
      <c r="B25" s="8" t="inlineStr">
        <is>
          <t>Pattern making tools</t>
        </is>
      </c>
      <c r="C25" s="9" t="n">
        <v>25</v>
      </c>
      <c r="D25" s="9" t="n">
        <v>0</v>
      </c>
      <c r="E25" s="9" t="n">
        <v>4</v>
      </c>
      <c r="F25" s="9">
        <f>IFERROR(MIN(C25,D25)*E25/C25,0)</f>
        <v/>
      </c>
      <c r="G25" s="9" t="n"/>
    </row>
    <row r="26" ht="14.15" customHeight="1">
      <c r="A26" s="7" t="n">
        <v>11</v>
      </c>
      <c r="B26" s="8" t="inlineStr">
        <is>
          <t>Measuring tools</t>
        </is>
      </c>
      <c r="C26" s="9" t="n">
        <v>25</v>
      </c>
      <c r="D26" s="9" t="n">
        <v>0</v>
      </c>
      <c r="E26" s="9" t="n">
        <v>3</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Motor Cycle Maintenance and Servicing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Motor Cycle Maintenance and Servicing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Motor Cycle Maintenance and Servicing,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Motorcycles</t>
        </is>
      </c>
      <c r="C19" s="9" t="n">
        <v>5</v>
      </c>
      <c r="D19" s="9" t="n">
        <v>0</v>
      </c>
      <c r="E19" s="9" t="n">
        <v>10</v>
      </c>
      <c r="F19" s="9">
        <f>IFERROR(MIN(C19,D19)*E19/C19,0)</f>
        <v/>
      </c>
      <c r="G19" s="9" t="n"/>
    </row>
    <row r="20" ht="14.15" customHeight="1">
      <c r="A20" s="7" t="n">
        <v>5</v>
      </c>
      <c r="B20" s="8" t="inlineStr">
        <is>
          <t>Motorcycle lift/stand</t>
        </is>
      </c>
      <c r="C20" s="9" t="n">
        <v>2</v>
      </c>
      <c r="D20" s="9" t="n">
        <v>0</v>
      </c>
      <c r="E20" s="9" t="n">
        <v>7</v>
      </c>
      <c r="F20" s="9">
        <f>IFERROR(MIN(C20,D20)*E20/C20,0)</f>
        <v/>
      </c>
      <c r="G20" s="9" t="n"/>
    </row>
    <row r="21" ht="14.15" customHeight="1">
      <c r="A21" s="7" t="n">
        <v>6</v>
      </c>
      <c r="B21" s="8" t="inlineStr">
        <is>
          <t>Chain breaker and riveter tool</t>
        </is>
      </c>
      <c r="C21" s="9" t="n">
        <v>2</v>
      </c>
      <c r="D21" s="9" t="n">
        <v>0</v>
      </c>
      <c r="E21" s="9" t="n">
        <v>5</v>
      </c>
      <c r="F21" s="9">
        <f>IFERROR(MIN(C21,D21)*E21/C21,0)</f>
        <v/>
      </c>
      <c r="G21" s="9" t="n"/>
    </row>
    <row r="22" ht="14.15" customHeight="1">
      <c r="A22" s="7" t="n">
        <v>7</v>
      </c>
      <c r="B22" s="8" t="inlineStr">
        <is>
          <t>Bearing puller set</t>
        </is>
      </c>
      <c r="C22" s="9" t="n">
        <v>2</v>
      </c>
      <c r="D22" s="9" t="n">
        <v>0</v>
      </c>
      <c r="E22" s="9" t="n">
        <v>5</v>
      </c>
      <c r="F22" s="9">
        <f>IFERROR(MIN(C22,D22)*E22/C22,0)</f>
        <v/>
      </c>
      <c r="G22" s="9" t="n"/>
    </row>
    <row r="23" ht="14.15" customHeight="1">
      <c r="A23" s="7" t="n">
        <v>8</v>
      </c>
      <c r="B23" s="8" t="inlineStr">
        <is>
          <t>Avometer/multimeter</t>
        </is>
      </c>
      <c r="C23" s="9" t="n">
        <v>2</v>
      </c>
      <c r="D23" s="9" t="n">
        <v>0</v>
      </c>
      <c r="E23" s="9" t="n">
        <v>6</v>
      </c>
      <c r="F23" s="9">
        <f>IFERROR(MIN(C23,D23)*E23/C23,0)</f>
        <v/>
      </c>
      <c r="G23" s="9" t="n"/>
    </row>
    <row r="24" ht="14.15" customHeight="1">
      <c r="A24" s="7" t="n">
        <v>9</v>
      </c>
      <c r="B24" s="8" t="inlineStr">
        <is>
          <t>Battery charger/maintainer</t>
        </is>
      </c>
      <c r="C24" s="9" t="n">
        <v>1</v>
      </c>
      <c r="D24" s="9" t="n">
        <v>0</v>
      </c>
      <c r="E24" s="9" t="n">
        <v>5</v>
      </c>
      <c r="F24" s="9">
        <f>IFERROR(MIN(C24,D24)*E24/C24,0)</f>
        <v/>
      </c>
      <c r="G24" s="9" t="n"/>
    </row>
    <row r="25" ht="14.15" customHeight="1">
      <c r="A25" s="7" t="n">
        <v>10</v>
      </c>
      <c r="B25" s="8" t="inlineStr">
        <is>
          <t>Universal Tire Air Pressure Gauge Dial Meter Tester</t>
        </is>
      </c>
      <c r="C25" s="9" t="n">
        <v>2</v>
      </c>
      <c r="D25" s="9" t="n">
        <v>0</v>
      </c>
      <c r="E25" s="9" t="n">
        <v>4</v>
      </c>
      <c r="F25" s="9">
        <f>IFERROR(MIN(C25,D25)*E25/C25,0)</f>
        <v/>
      </c>
      <c r="G25" s="9" t="n"/>
    </row>
    <row r="26" ht="14.15" customHeight="1">
      <c r="A26" s="7" t="n">
        <v>11</v>
      </c>
      <c r="B26" s="8" t="inlineStr">
        <is>
          <t>Tire changing tools (bead breaker, tire levers, balancing stand)</t>
        </is>
      </c>
      <c r="C26" s="9" t="n">
        <v>2</v>
      </c>
      <c r="D26" s="9" t="n">
        <v>0</v>
      </c>
      <c r="E26" s="9" t="n">
        <v>6</v>
      </c>
      <c r="F26" s="9">
        <f>IFERROR(MIN(C26,D26)*E26/C26,0)</f>
        <v/>
      </c>
      <c r="G26" s="9" t="n"/>
    </row>
    <row r="27" ht="14.15" customHeight="1">
      <c r="A27" s="7" t="n">
        <v>12</v>
      </c>
      <c r="B27" s="8" t="inlineStr">
        <is>
          <t>Wheel balancer</t>
        </is>
      </c>
      <c r="C27" s="9" t="n">
        <v>1</v>
      </c>
      <c r="D27" s="9" t="n">
        <v>0</v>
      </c>
      <c r="E27" s="9" t="n">
        <v>7</v>
      </c>
      <c r="F27" s="9">
        <f>IFERROR(MIN(C27,D27)*E27/C27,0)</f>
        <v/>
      </c>
      <c r="G27" s="9" t="n"/>
    </row>
    <row r="28" ht="14.15" customHeight="1">
      <c r="A28" s="7" t="n">
        <v>13</v>
      </c>
      <c r="B28" s="8" t="inlineStr">
        <is>
          <t>Air compressor</t>
        </is>
      </c>
      <c r="C28" s="9" t="n">
        <v>1</v>
      </c>
      <c r="D28" s="9" t="n">
        <v>0</v>
      </c>
      <c r="E28" s="9" t="n">
        <v>6</v>
      </c>
      <c r="F28" s="9">
        <f>IFERROR(MIN(C28,D28)*E28/C28,0)</f>
        <v/>
      </c>
      <c r="G28" s="9" t="n"/>
    </row>
    <row r="29" ht="14.15" customHeight="1">
      <c r="A29" s="7" t="n">
        <v>14</v>
      </c>
      <c r="B29" s="8" t="inlineStr">
        <is>
          <t>Tool box (Ball Peen Hammer, Files, Allen Key, Open And Ring Wrenches, Wrenches, Socket Wrench Set, Pliers, Puller, Scriber, Filler Gauge, Plug Wrench, Tap Sets, Die Sets, Hacksaw, Spanners, Vice Grip, Wire Cutters, And Clamps)</t>
        </is>
      </c>
      <c r="C29" s="9" t="n">
        <v>5</v>
      </c>
      <c r="D29" s="9" t="n">
        <v>0</v>
      </c>
      <c r="E29" s="9" t="n">
        <v>4</v>
      </c>
      <c r="F29" s="9">
        <f>IFERROR(MIN(C29,D29)*E29/C29,0)</f>
        <v/>
      </c>
      <c r="G29" s="9" t="n"/>
    </row>
    <row r="30" ht="14.15" customHeight="1">
      <c r="A30" s="7" t="n">
        <v>15</v>
      </c>
      <c r="B30" s="8" t="inlineStr">
        <is>
          <t>Power tools (Drills, Grinders and Soldering iron)</t>
        </is>
      </c>
      <c r="C30" s="9" t="n">
        <v>5</v>
      </c>
      <c r="D30" s="9" t="n">
        <v>0</v>
      </c>
      <c r="E30" s="9" t="n">
        <v>6</v>
      </c>
      <c r="F30" s="9">
        <f>IFERROR(MIN(C30,D30)*E30/C30,0)</f>
        <v/>
      </c>
      <c r="G30" s="9" t="n"/>
    </row>
    <row r="31">
      <c r="A31" s="10" t="inlineStr">
        <is>
          <t>Sum</t>
        </is>
      </c>
      <c r="B31" s="11" t="n"/>
      <c r="C31" s="11" t="n"/>
      <c r="D31" s="12" t="n"/>
      <c r="E31" s="10">
        <f>SUM(E16:E30)</f>
        <v/>
      </c>
      <c r="F31" s="10">
        <f>SUM(F16:F30)</f>
        <v/>
      </c>
      <c r="G31" s="13" t="n"/>
    </row>
    <row r="32">
      <c r="A32" s="10" t="inlineStr">
        <is>
          <t>Score out of 100</t>
        </is>
      </c>
      <c r="B32" s="11" t="n"/>
      <c r="C32" s="11" t="n"/>
      <c r="D32" s="11" t="n"/>
      <c r="E32" s="12" t="n"/>
      <c r="F32" s="10">
        <f>F31/E31*100</f>
        <v/>
      </c>
      <c r="G32" s="13" t="n"/>
    </row>
    <row r="33" ht="9.75" customHeight="1"/>
    <row r="34">
      <c r="A34" s="10" t="inlineStr">
        <is>
          <t xml:space="preserve">Total achieved points out of 30  </t>
        </is>
      </c>
      <c r="B34" s="11" t="n"/>
      <c r="C34" s="11" t="n"/>
      <c r="D34" s="11" t="n"/>
      <c r="E34" s="12" t="n"/>
      <c r="F34" s="10">
        <f>F32*30/100</f>
        <v/>
      </c>
      <c r="G34" s="10"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Water Basin</t>
        </is>
      </c>
      <c r="C20" s="9" t="n">
        <v>5</v>
      </c>
      <c r="D20" s="9" t="n">
        <v>0</v>
      </c>
      <c r="E20" s="9" t="n">
        <v>6</v>
      </c>
      <c r="F20" s="9">
        <f>IFERROR(MIN(C20,D20)*E20/C20,0)</f>
        <v/>
      </c>
      <c r="G20" s="9" t="n"/>
    </row>
    <row r="21" ht="14.15" customHeight="1">
      <c r="A21" s="7" t="n">
        <v>6</v>
      </c>
      <c r="B21" s="8" t="inlineStr">
        <is>
          <t>Western commode</t>
        </is>
      </c>
      <c r="C21" s="9" t="n">
        <v>5</v>
      </c>
      <c r="D21" s="9" t="n">
        <v>0</v>
      </c>
      <c r="E21" s="9" t="n">
        <v>7</v>
      </c>
      <c r="F21" s="9">
        <f>IFERROR(MIN(C21,D21)*E21/C21,0)</f>
        <v/>
      </c>
      <c r="G21" s="9" t="n"/>
    </row>
    <row r="22" ht="14.15" customHeight="1">
      <c r="A22" s="7" t="n">
        <v>7</v>
      </c>
      <c r="B22" s="8" t="inlineStr">
        <is>
          <t>Asian commode</t>
        </is>
      </c>
      <c r="C22" s="9" t="n">
        <v>5</v>
      </c>
      <c r="D22" s="9" t="n">
        <v>0</v>
      </c>
      <c r="E22" s="9" t="n">
        <v>7</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6</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vice (with stand/ work table)</t>
        </is>
      </c>
      <c r="C28" s="9" t="n">
        <v>16</v>
      </c>
      <c r="D28" s="9" t="n">
        <v>0</v>
      </c>
      <c r="E28" s="9" t="n">
        <v>8</v>
      </c>
      <c r="F28" s="9">
        <f>IFERROR(MIN(C28,D28)*E28/C28,0)</f>
        <v/>
      </c>
      <c r="G28" s="9" t="n"/>
    </row>
    <row r="29" ht="14.15" customHeight="1">
      <c r="A29" s="7" t="n">
        <v>14</v>
      </c>
      <c r="B29" s="8" t="inlineStr">
        <is>
          <t>Pipe threading machine</t>
        </is>
      </c>
      <c r="C29" s="9" t="n">
        <v>1</v>
      </c>
      <c r="D29" s="9" t="n">
        <v>0</v>
      </c>
      <c r="E29" s="9" t="n">
        <v>8</v>
      </c>
      <c r="F29" s="9">
        <f>IFERROR(MIN(C29,D29)*E29/C29,0)</f>
        <v/>
      </c>
      <c r="G29" s="9" t="n"/>
    </row>
    <row r="30" ht="14.15" customHeight="1">
      <c r="A30" s="7" t="n">
        <v>15</v>
      </c>
      <c r="B30" s="8" t="inlineStr">
        <is>
          <t>Thread cutter</t>
        </is>
      </c>
      <c r="C30" s="9" t="n">
        <v>16</v>
      </c>
      <c r="D30" s="9" t="n">
        <v>0</v>
      </c>
      <c r="E30" s="9" t="n">
        <v>6</v>
      </c>
      <c r="F30" s="9">
        <f>IFERROR(MIN(C30,D30)*E30/C30,0)</f>
        <v/>
      </c>
      <c r="G30" s="9" t="n"/>
    </row>
    <row r="31" ht="14.15" customHeight="1">
      <c r="A31" s="7" t="n">
        <v>16</v>
      </c>
      <c r="B31" s="8" t="inlineStr">
        <is>
          <t>Angle grinder</t>
        </is>
      </c>
      <c r="C31" s="9" t="n">
        <v>10</v>
      </c>
      <c r="D31" s="9" t="n">
        <v>0</v>
      </c>
      <c r="E31" s="9" t="n">
        <v>6</v>
      </c>
      <c r="F31" s="9">
        <f>IFERROR(MIN(C31,D31)*E31/C31,0)</f>
        <v/>
      </c>
      <c r="G31" s="9" t="n"/>
    </row>
    <row r="32" ht="14.15" customHeight="1">
      <c r="A32" s="7" t="n">
        <v>17</v>
      </c>
      <c r="B32" s="8" t="inlineStr">
        <is>
          <t>Pedestal grinder</t>
        </is>
      </c>
      <c r="C32" s="9" t="n">
        <v>2</v>
      </c>
      <c r="D32" s="9" t="n">
        <v>0</v>
      </c>
      <c r="E32" s="9" t="n">
        <v>5</v>
      </c>
      <c r="F32" s="9">
        <f>IFERROR(MIN(C32,D32)*E32/C32,0)</f>
        <v/>
      </c>
      <c r="G32" s="9" t="n"/>
    </row>
    <row r="33" ht="14.15" customHeight="1">
      <c r="A33" s="7" t="n">
        <v>18</v>
      </c>
      <c r="B33" s="8" t="inlineStr">
        <is>
          <t>Hammer drill machine</t>
        </is>
      </c>
      <c r="C33" s="9" t="n">
        <v>5</v>
      </c>
      <c r="D33" s="9" t="n">
        <v>0</v>
      </c>
      <c r="E33" s="9" t="n">
        <v>6</v>
      </c>
      <c r="F33" s="9">
        <f>IFERROR(MIN(C33,D33)*E33/C33,0)</f>
        <v/>
      </c>
      <c r="G33" s="9" t="n"/>
    </row>
    <row r="34" ht="14.15" customHeight="1">
      <c r="A34" s="7" t="n">
        <v>19</v>
      </c>
      <c r="B34" s="8" t="inlineStr">
        <is>
          <t>PPR welding machine</t>
        </is>
      </c>
      <c r="C34" s="9" t="n">
        <v>5</v>
      </c>
      <c r="D34" s="9" t="n">
        <v>0</v>
      </c>
      <c r="E34" s="9" t="n">
        <v>8</v>
      </c>
      <c r="F34" s="9">
        <f>IFERROR(MIN(C34,D34)*E34/C34,0)</f>
        <v/>
      </c>
      <c r="G34" s="9" t="n"/>
    </row>
    <row r="35" ht="14.15" customHeight="1">
      <c r="A35" s="7" t="n">
        <v>20</v>
      </c>
      <c r="B35" s="8" t="inlineStr">
        <is>
          <t>Core cutting machine</t>
        </is>
      </c>
      <c r="C35" s="9" t="n">
        <v>1</v>
      </c>
      <c r="D35" s="9" t="n">
        <v>0</v>
      </c>
      <c r="E35" s="9" t="n">
        <v>6</v>
      </c>
      <c r="F35" s="9">
        <f>IFERROR(MIN(C35,D35)*E35/C35,0)</f>
        <v/>
      </c>
      <c r="G35" s="9" t="n"/>
    </row>
    <row r="36" ht="14.15" customHeight="1">
      <c r="A36" s="7" t="n">
        <v>21</v>
      </c>
      <c r="B36" s="8" t="inlineStr">
        <is>
          <t>Plastic septic tank</t>
        </is>
      </c>
      <c r="C36" s="9" t="n">
        <v>1</v>
      </c>
      <c r="D36" s="9" t="n">
        <v>0</v>
      </c>
      <c r="E36" s="9" t="n">
        <v>5</v>
      </c>
      <c r="F36" s="9">
        <f>IFERROR(MIN(C36,D36)*E36/C36,0)</f>
        <v/>
      </c>
      <c r="G36" s="9" t="n"/>
    </row>
    <row r="37" ht="14.15" customHeight="1">
      <c r="A37" s="7" t="n">
        <v>22</v>
      </c>
      <c r="B37" s="8" t="inlineStr">
        <is>
          <t>Water pump</t>
        </is>
      </c>
      <c r="C37" s="9" t="n">
        <v>5</v>
      </c>
      <c r="D37" s="9" t="n">
        <v>0</v>
      </c>
      <c r="E37" s="9" t="n">
        <v>7</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2026-09-23T10:54:59Z</dcterms:modified>
</cp:coreProperties>
</file>
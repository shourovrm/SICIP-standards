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Marine Engine Op &amp; Maint" sheetId="1" state="visible" r:id="rId3"/>
    <sheet name="Welding 1G 2G 3G" sheetId="2" state="visible" r:id="rId4"/>
    <sheet name="Electrical Instl &amp; Maint" sheetId="3" state="visible" r:id="rId5"/>
    <sheet name="Boiler Op &amp; Maintenance"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<sst xmlns="http://schemas.openxmlformats.org/spreadsheetml/2006/main" count="168" uniqueCount="104">
  <si>
    <t xml:space="preserve">Course-wise Training Infrastructure and Facilities</t>
  </si>
  <si>
    <t xml:space="preserve">Course Name:</t>
  </si>
  <si>
    <t xml:space="preserve">Marine Engine Operation and Maintenance</t>
  </si>
  <si>
    <t xml:space="preserve">Number of Trainees:</t>
  </si>
  <si>
    <t xml:space="preserve">Course-wise Training Space (Theoretical Classroom, Workshop/ Lab/ Classroom cum Workshop)</t>
  </si>
  <si>
    <t xml:space="preserve">Course Name</t>
  </si>
  <si>
    <t xml:space="preserve">SICIP required space for 25 trainees</t>
  </si>
  <si>
    <t xml:space="preserve">Classroom – 350 sft (33 sqm)
Workshop/ lab – 800 sft (75 sq) OR
Classroom cum workshop – 1000 sft (93 sqm)</t>
  </si>
  <si>
    <t xml:space="preserve">Major Training Equipment and Training Facilities</t>
  </si>
  <si>
    <t xml:space="preserve">•The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Marine Engine Operation and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</si>
  <si>
    <t xml:space="preserve">S.N.</t>
  </si>
  <si>
    <t xml:space="preserve">Major Equipment and Training facilities</t>
  </si>
  <si>
    <t xml:space="preserve">Required facilities</t>
  </si>
  <si>
    <t xml:space="preserve">Available facilities</t>
  </si>
  <si>
    <t xml:space="preserve">Weights
(out of 10)</t>
  </si>
  <si>
    <t xml:space="preserve">Weighted scores</t>
  </si>
  <si>
    <t xml:space="preserve">Remarks</t>
  </si>
  <si>
    <t xml:space="preserve">Computer with internet connection</t>
  </si>
  <si>
    <t xml:space="preserve">Projector and projector screen</t>
  </si>
  <si>
    <t xml:space="preserve">Marine Diesel engine</t>
  </si>
  <si>
    <t xml:space="preserve">Engine Cooler (Tube type)</t>
  </si>
  <si>
    <t xml:space="preserve">Engine Cooler (Plate type)</t>
  </si>
  <si>
    <t xml:space="preserve">Engine Crank shaft</t>
  </si>
  <si>
    <t xml:space="preserve">Different engine component set</t>
  </si>
  <si>
    <t xml:space="preserve">Centrifugal Pump</t>
  </si>
  <si>
    <t xml:space="preserve">Positive displacement pump</t>
  </si>
  <si>
    <t xml:space="preserve">Main bearing</t>
  </si>
  <si>
    <t xml:space="preserve">Crank pin bearing</t>
  </si>
  <si>
    <t xml:space="preserve">Battery (100 AH) with charger</t>
  </si>
  <si>
    <t xml:space="preserve">Sum</t>
  </si>
  <si>
    <t xml:space="preserve">Score out of 100</t>
  </si>
  <si>
    <t xml:space="preserve">Total achieved points out of 30  </t>
  </si>
  <si>
    <t xml:space="preserve">Points</t>
  </si>
  <si>
    <t xml:space="preserve">Welding and Fabrication (1G, 2G &amp; 3G)</t>
  </si>
  <si>
    <t xml:space="preserve">•The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Welding and Fabrication (1G, 2G &amp; 3G),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</si>
  <si>
    <t xml:space="preserve">Computers/ Laptop</t>
  </si>
  <si>
    <t xml:space="preserve">Multimedia Projector</t>
  </si>
  <si>
    <t xml:space="preserve">Internet connectivity</t>
  </si>
  <si>
    <t xml:space="preserve">AC/DC Arc welding machine</t>
  </si>
  <si>
    <t xml:space="preserve">Gas welding set</t>
  </si>
  <si>
    <t xml:space="preserve">MIG welding machine</t>
  </si>
  <si>
    <t xml:space="preserve">TIG welding machine</t>
  </si>
  <si>
    <t xml:space="preserve">Gas cutting set</t>
  </si>
  <si>
    <t xml:space="preserve">Spare cylinder set (Argon, oxygen and acetylene)</t>
  </si>
  <si>
    <t xml:space="preserve">Power grinding machine</t>
  </si>
  <si>
    <t xml:space="preserve">Hand grinding machine</t>
  </si>
  <si>
    <t xml:space="preserve">Bench vice</t>
  </si>
  <si>
    <t xml:space="preserve">Tool box set for welding workshop</t>
  </si>
  <si>
    <t xml:space="preserve">Fire extinguisher</t>
  </si>
  <si>
    <t xml:space="preserve">Welding booth with exhaust system</t>
  </si>
  <si>
    <t xml:space="preserve">First aid box</t>
  </si>
  <si>
    <t xml:space="preserve">Electrical Installation and Maintenance (Shipbuilding)</t>
  </si>
  <si>
    <t xml:space="preserve">•The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and Maintenance (Shipbuilding),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</si>
  <si>
    <t xml:space="preserve">Wiring Boards/Trainer Board</t>
  </si>
  <si>
    <t xml:space="preserve">Navigation lights</t>
  </si>
  <si>
    <t xml:space="preserve">Echo sounder</t>
  </si>
  <si>
    <t xml:space="preserve">Magnetic compass</t>
  </si>
  <si>
    <t xml:space="preserve">GPS recorder</t>
  </si>
  <si>
    <t xml:space="preserve">Main Distribution Board with busbar, CB and other accessories (Training model)</t>
  </si>
  <si>
    <t xml:space="preserve">Sub Distribution Board with busbar, CB and other accessories (Training model)</t>
  </si>
  <si>
    <t xml:space="preserve">Electric drill machine</t>
  </si>
  <si>
    <t xml:space="preserve">Electric grinding machine</t>
  </si>
  <si>
    <t xml:space="preserve">Energy Meter (1 Phase)</t>
  </si>
  <si>
    <t xml:space="preserve">Energy Meter (3 Phase)</t>
  </si>
  <si>
    <t xml:space="preserve">Earth tester</t>
  </si>
  <si>
    <t xml:space="preserve">Megger</t>
  </si>
  <si>
    <t xml:space="preserve">Phase sequence meter</t>
  </si>
  <si>
    <t xml:space="preserve">Three phase motor (5-10HP)</t>
  </si>
  <si>
    <t xml:space="preserve">Single Phase Motor</t>
  </si>
  <si>
    <t xml:space="preserve">Burnt/Defective motor</t>
  </si>
  <si>
    <t xml:space="preserve">ATS</t>
  </si>
  <si>
    <t xml:space="preserve">DOL Starter</t>
  </si>
  <si>
    <t xml:space="preserve">Star-Delta Starter with controlling arrangement</t>
  </si>
  <si>
    <t xml:space="preserve">Generator (15-25KW)</t>
  </si>
  <si>
    <t xml:space="preserve">Lead Acid Battery (12 V, 100 AH)</t>
  </si>
  <si>
    <t xml:space="preserve">Forward-Reverse circuit arrangement for motor control</t>
  </si>
  <si>
    <t xml:space="preserve">Boiler Operation and Maintenance</t>
  </si>
  <si>
    <t xml:space="preserve">•The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Boiler Operation and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</si>
  <si>
    <t xml:space="preserve">Fire Tube Boiler (500 Kg per hour)</t>
  </si>
  <si>
    <t xml:space="preserve">Fuel tank (2 ton)</t>
  </si>
  <si>
    <t xml:space="preserve">Fuel pump with accessories</t>
  </si>
  <si>
    <t xml:space="preserve">Feed water tank (2 ton)</t>
  </si>
  <si>
    <t xml:space="preserve">Feed water pump with accessories</t>
  </si>
  <si>
    <t xml:space="preserve">System piping for boiler exhaust 
(Standard size)</t>
  </si>
  <si>
    <t xml:space="preserve">System piping for water (Standard size)</t>
  </si>
  <si>
    <t xml:space="preserve">System piping for fuel (Standard size)</t>
  </si>
  <si>
    <t xml:space="preserve">System piping for steam with insulation (Standard size)</t>
  </si>
  <si>
    <t xml:space="preserve">Multimeter</t>
  </si>
  <si>
    <t xml:space="preserve">Pipe Wrenches (24”)</t>
  </si>
  <si>
    <t xml:space="preserve">Adjustable Wrenches</t>
  </si>
  <si>
    <t xml:space="preserve">Spanners set</t>
  </si>
  <si>
    <t xml:space="preserve">LPG cylinder with Propane Gas (35kg)</t>
  </si>
  <si>
    <t xml:space="preserve">Boiler Water Testing Kit</t>
  </si>
  <si>
    <t xml:space="preserve">Burner Nozzles</t>
  </si>
  <si>
    <t xml:space="preserve">2 set</t>
  </si>
  <si>
    <t xml:space="preserve">Boiler Tube Cleaning Brushes, chemicals, pump</t>
  </si>
  <si>
    <t xml:space="preserve">Temperature Gun or Thermometer</t>
  </si>
  <si>
    <t xml:space="preserve">Flashlight or Inspection Lamp</t>
  </si>
  <si>
    <t xml:space="preserve">Pipe and Flue Brushes (with item no.6)</t>
  </si>
  <si>
    <t xml:space="preserve">Gaskets and Seals (5 square meter)</t>
  </si>
  <si>
    <t xml:space="preserve">Ignition Electrodes</t>
  </si>
  <si>
    <t xml:space="preserve">Flame Sensors</t>
  </si>
  <si>
    <t xml:space="preserve">Tool box for boiler</t>
  </si>
  <si>
    <t xml:space="preserve">Safety valve</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</si>
</sst>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name val="Arial"/>
      <family val="0"/>
      <charset val="1"/>
    </font>
  </fonts>
  <fills count="3">
    <fill>
      <patternFill patternType="none"/>
    </fill>
    <fill>
      <patternFill patternType="gray125"/>
    </fill>
    <fill>
      <patternFill patternType="solid">
        <fgColor rgb="FFD9D9D9"/>
        <bgColor rgb="FFC0C0C0"/>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center" vertical="center" textRotation="0" wrapText="true" indent="0" shrinkToFit="false"/>
      <protection locked="true" hidden="false"/>
    </xf>
    <xf numFmtId="164" fontId="6" fillId="0" borderId="2" xfId="0" applyFont="true" applyBorder="true" applyAlignment="true" applyProtection="false">
      <alignment horizontal="left" vertical="center" textRotation="0" wrapText="tru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1"/>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C8" activeCellId="0" sqref="C8"/>
    </sheetView>
  </sheetViews>
  <sheetFormatPr defaultColWidth="8.6796875" defaultRowHeight="15" customHeight="false" zeroHeight="false" outlineLevelRow="0" outlineLevelCol="0"/>
  <cols>
    <col collapsed="false" customWidth="true" hidden="false" outlineLevel="0" max="1" min="1" style="0" width="15.17"/>
    <col collapsed="false" customWidth="true" hidden="false" outlineLevel="0" max="2" min="2" style="0" width="33.13"/>
    <col collapsed="false" customWidth="true" hidden="false" outlineLevel="0" max="7" min="3" style="0" width="13.72"/>
  </cols>
  <sheetData>
    <row r="1" customFormat="false" ht="17.25" hidden="false" customHeight="true" outlineLevel="0" collapsed="false">
      <c r="A1" s="1" t="s">
        <v>0</v>
      </c>
      <c r="B1" s="1"/>
      <c r="C1" s="1"/>
      <c r="D1" s="1"/>
      <c r="E1" s="1"/>
      <c r="F1" s="1"/>
      <c r="G1" s="1"/>
    </row>
    <row r="3" customFormat="false" ht="26.85" hidden="false" customHeight="false" outlineLevel="0" collapsed="false">
      <c r="A3" s="2" t="s">
        <v>1</v>
      </c>
      <c r="B3" s="2" t="s">
        <v>2</v>
      </c>
    </row>
    <row r="4" customFormat="false" ht="26.25" hidden="false" customHeight="true" outlineLevel="0" collapsed="false">
      <c r="A4" s="2" t="s">
        <v>3</v>
      </c>
      <c r="B4" s="2" t="n">
        <v>25</v>
      </c>
    </row>
    <row r="6" customFormat="false" ht="15" hidden="false" customHeight="false" outlineLevel="0" collapsed="false">
      <c r="A6" s="3" t="s">
        <v>4</v>
      </c>
    </row>
    <row r="7" customFormat="false" ht="15" hidden="false" customHeight="true" outlineLevel="0" collapsed="false">
      <c r="B7" s="2" t="s">
        <v>5</v>
      </c>
      <c r="C7" s="4" t="s">
        <v>6</v>
      </c>
      <c r="D7" s="4"/>
      <c r="E7" s="4"/>
      <c r="F7" s="4"/>
      <c r="G7" s="4"/>
    </row>
    <row r="8" customFormat="false" ht="51.75" hidden="false" customHeight="true" outlineLevel="0" collapsed="false">
      <c r="B8" s="2" t="s">
        <v>2</v>
      </c>
      <c r="C8" s="5" t="s">
        <v>7</v>
      </c>
      <c r="D8" s="5"/>
      <c r="E8" s="5"/>
      <c r="F8" s="5"/>
      <c r="G8" s="5"/>
    </row>
    <row r="11" customFormat="false" ht="15" hidden="false" customHeight="false" outlineLevel="0" collapsed="false">
      <c r="A11" s="3" t="s">
        <v>8</v>
      </c>
    </row>
    <row r="13" customFormat="false" ht="115.5" hidden="false" customHeight="true" outlineLevel="0" collapsed="false">
      <c r="A13" s="6" t="s">
        <v>9</v>
      </c>
      <c r="B13" s="6"/>
      <c r="C13" s="6"/>
      <c r="D13" s="6"/>
      <c r="E13" s="6"/>
      <c r="F13" s="6"/>
      <c r="G13" s="6"/>
    </row>
    <row r="15" customFormat="false" ht="26.25" hidden="false" customHeight="true" outlineLevel="0" collapsed="false">
      <c r="A15" s="7" t="s">
        <v>10</v>
      </c>
      <c r="B15" s="7" t="s">
        <v>11</v>
      </c>
      <c r="C15" s="7" t="s">
        <v>12</v>
      </c>
      <c r="D15" s="7" t="s">
        <v>13</v>
      </c>
      <c r="E15" s="7" t="s">
        <v>14</v>
      </c>
      <c r="F15" s="7" t="s">
        <v>15</v>
      </c>
      <c r="G15" s="7" t="s">
        <v>16</v>
      </c>
    </row>
    <row r="16" customFormat="false" ht="13.5" hidden="false" customHeight="true" outlineLevel="0" collapsed="false">
      <c r="A16" s="8" t="n">
        <v>1</v>
      </c>
      <c r="B16" s="9" t="s">
        <v>17</v>
      </c>
      <c r="C16" s="10" t="n">
        <v>1</v>
      </c>
      <c r="D16" s="10"/>
      <c r="E16" s="10" t="n">
        <v>5</v>
      </c>
      <c r="F16" s="10" t="n">
        <f aca="false">IFERROR(MIN(C16,D16)*E16/C16,0)</f>
        <v>5</v>
      </c>
      <c r="G16" s="10"/>
    </row>
    <row r="17" customFormat="false" ht="13.5" hidden="false" customHeight="true" outlineLevel="0" collapsed="false">
      <c r="A17" s="8" t="n">
        <v>2</v>
      </c>
      <c r="B17" s="9" t="s">
        <v>18</v>
      </c>
      <c r="C17" s="10" t="n">
        <v>1</v>
      </c>
      <c r="D17" s="10"/>
      <c r="E17" s="10" t="n">
        <v>5</v>
      </c>
      <c r="F17" s="10" t="n">
        <f aca="false">IFERROR(MIN(C17,D17)*E17/C17,0)</f>
        <v>5</v>
      </c>
      <c r="G17" s="10"/>
    </row>
    <row r="18" customFormat="false" ht="13.5" hidden="false" customHeight="true" outlineLevel="0" collapsed="false">
      <c r="A18" s="8" t="n">
        <v>3</v>
      </c>
      <c r="B18" s="9" t="s">
        <v>19</v>
      </c>
      <c r="C18" s="10" t="n">
        <v>3</v>
      </c>
      <c r="D18" s="10"/>
      <c r="E18" s="10" t="n">
        <v>10</v>
      </c>
      <c r="F18" s="10" t="n">
        <f aca="false">IFERROR(MIN(C18,D18)*E18/C18,0)</f>
        <v>10</v>
      </c>
      <c r="G18" s="10"/>
    </row>
    <row r="19" customFormat="false" ht="13.5" hidden="false" customHeight="true" outlineLevel="0" collapsed="false">
      <c r="A19" s="8" t="n">
        <v>4</v>
      </c>
      <c r="B19" s="9" t="s">
        <v>20</v>
      </c>
      <c r="C19" s="10" t="n">
        <v>1</v>
      </c>
      <c r="D19" s="10"/>
      <c r="E19" s="10" t="n">
        <v>8</v>
      </c>
      <c r="F19" s="10" t="n">
        <f aca="false">IFERROR(MIN(C19,D19)*E19/C19,0)</f>
        <v>8</v>
      </c>
      <c r="G19" s="10"/>
    </row>
    <row r="20" customFormat="false" ht="13.5" hidden="false" customHeight="true" outlineLevel="0" collapsed="false">
      <c r="A20" s="8" t="n">
        <v>5</v>
      </c>
      <c r="B20" s="9" t="s">
        <v>21</v>
      </c>
      <c r="C20" s="10" t="n">
        <v>1</v>
      </c>
      <c r="D20" s="10"/>
      <c r="E20" s="10" t="n">
        <v>8</v>
      </c>
      <c r="F20" s="10" t="n">
        <f aca="false">IFERROR(MIN(C20,D20)*E20/C20,0)</f>
        <v>8</v>
      </c>
      <c r="G20" s="10"/>
    </row>
    <row r="21" customFormat="false" ht="13.5" hidden="false" customHeight="true" outlineLevel="0" collapsed="false">
      <c r="A21" s="8" t="n">
        <v>6</v>
      </c>
      <c r="B21" s="9" t="s">
        <v>22</v>
      </c>
      <c r="C21" s="10" t="n">
        <v>1</v>
      </c>
      <c r="D21" s="10"/>
      <c r="E21" s="10" t="n">
        <v>7</v>
      </c>
      <c r="F21" s="10" t="n">
        <f aca="false">IFERROR(MIN(C21,D21)*E21/C21,0)</f>
        <v>7</v>
      </c>
      <c r="G21" s="10"/>
    </row>
    <row r="22" customFormat="false" ht="13.5" hidden="false" customHeight="true" outlineLevel="0" collapsed="false">
      <c r="A22" s="8" t="n">
        <v>7</v>
      </c>
      <c r="B22" s="9" t="s">
        <v>23</v>
      </c>
      <c r="C22" s="10" t="n">
        <v>2</v>
      </c>
      <c r="D22" s="10"/>
      <c r="E22" s="10" t="n">
        <v>7</v>
      </c>
      <c r="F22" s="10" t="n">
        <f aca="false">IFERROR(MIN(C22,D22)*E22/C22,0)</f>
        <v>7</v>
      </c>
      <c r="G22" s="10"/>
    </row>
    <row r="23" customFormat="false" ht="13.5" hidden="false" customHeight="true" outlineLevel="0" collapsed="false">
      <c r="A23" s="8" t="n">
        <v>8</v>
      </c>
      <c r="B23" s="9" t="s">
        <v>24</v>
      </c>
      <c r="C23" s="10" t="n">
        <v>2</v>
      </c>
      <c r="D23" s="10"/>
      <c r="E23" s="10" t="n">
        <v>7</v>
      </c>
      <c r="F23" s="10" t="n">
        <f aca="false">IFERROR(MIN(C23,D23)*E23/C23,0)</f>
        <v>7</v>
      </c>
      <c r="G23" s="10"/>
    </row>
    <row r="24" customFormat="false" ht="13.5" hidden="false" customHeight="true" outlineLevel="0" collapsed="false">
      <c r="A24" s="8" t="n">
        <v>9</v>
      </c>
      <c r="B24" s="9" t="s">
        <v>25</v>
      </c>
      <c r="C24" s="10" t="n">
        <v>2</v>
      </c>
      <c r="D24" s="10"/>
      <c r="E24" s="10" t="n">
        <v>7</v>
      </c>
      <c r="F24" s="10" t="n">
        <f aca="false">IFERROR(MIN(C24,D24)*E24/C24,0)</f>
        <v>7</v>
      </c>
      <c r="G24" s="10"/>
    </row>
    <row r="25" customFormat="false" ht="13.5" hidden="false" customHeight="true" outlineLevel="0" collapsed="false">
      <c r="A25" s="8" t="n">
        <v>10</v>
      </c>
      <c r="B25" s="9" t="s">
        <v>26</v>
      </c>
      <c r="C25" s="10" t="n">
        <v>1</v>
      </c>
      <c r="D25" s="10"/>
      <c r="E25" s="10" t="n">
        <v>6</v>
      </c>
      <c r="F25" s="10" t="n">
        <f aca="false">IFERROR(MIN(C25,D25)*E25/C25,0)</f>
        <v>6</v>
      </c>
      <c r="G25" s="10"/>
    </row>
    <row r="26" customFormat="false" ht="13.5" hidden="false" customHeight="true" outlineLevel="0" collapsed="false">
      <c r="A26" s="8" t="n">
        <v>11</v>
      </c>
      <c r="B26" s="9" t="s">
        <v>27</v>
      </c>
      <c r="C26" s="10" t="n">
        <v>1</v>
      </c>
      <c r="D26" s="10"/>
      <c r="E26" s="10" t="n">
        <v>6</v>
      </c>
      <c r="F26" s="10" t="n">
        <f aca="false">IFERROR(MIN(C26,D26)*E26/C26,0)</f>
        <v>6</v>
      </c>
      <c r="G26" s="10"/>
    </row>
    <row r="27" customFormat="false" ht="13.5" hidden="false" customHeight="true" outlineLevel="0" collapsed="false">
      <c r="A27" s="8" t="n">
        <v>12</v>
      </c>
      <c r="B27" s="9" t="s">
        <v>28</v>
      </c>
      <c r="C27" s="10" t="n">
        <v>1</v>
      </c>
      <c r="D27" s="10"/>
      <c r="E27" s="10" t="n">
        <v>6</v>
      </c>
      <c r="F27" s="10" t="n">
        <f aca="false">IFERROR(MIN(C27,D27)*E27/C27,0)</f>
        <v>6</v>
      </c>
      <c r="G27" s="10"/>
    </row>
    <row r="28" customFormat="false" ht="15" hidden="false" customHeight="false" outlineLevel="0" collapsed="false">
      <c r="A28" s="11" t="s">
        <v>29</v>
      </c>
      <c r="B28" s="11"/>
      <c r="C28" s="11"/>
      <c r="D28" s="11"/>
      <c r="E28" s="11" t="n">
        <f aca="false">SUM(E16:E27)</f>
        <v>82</v>
      </c>
      <c r="F28" s="11" t="n">
        <f aca="false">SUM(F16:F27)</f>
        <v>82</v>
      </c>
      <c r="G28" s="12"/>
    </row>
    <row r="29" customFormat="false" ht="15" hidden="false" customHeight="false" outlineLevel="0" collapsed="false">
      <c r="A29" s="11" t="s">
        <v>30</v>
      </c>
      <c r="B29" s="11"/>
      <c r="C29" s="11"/>
      <c r="D29" s="11"/>
      <c r="E29" s="11"/>
      <c r="F29" s="11" t="n">
        <f aca="false">F28/E28*100</f>
        <v>100</v>
      </c>
      <c r="G29" s="12"/>
    </row>
    <row r="30" customFormat="false" ht="9.75" hidden="false" customHeight="true" outlineLevel="0" collapsed="false">
      <c r="A30" s="13"/>
      <c r="B30" s="13"/>
      <c r="C30" s="13"/>
      <c r="D30" s="13"/>
      <c r="E30" s="13"/>
      <c r="F30" s="13"/>
      <c r="G30" s="13"/>
    </row>
    <row r="31" customFormat="false" ht="15" hidden="false" customHeight="false" outlineLevel="0" collapsed="false">
      <c r="A31" s="11" t="s">
        <v>31</v>
      </c>
      <c r="B31" s="11"/>
      <c r="C31" s="11"/>
      <c r="D31" s="11"/>
      <c r="E31" s="11"/>
      <c r="F31" s="11" t="n">
        <f aca="false">F29*30/100</f>
        <v>30</v>
      </c>
      <c r="G31" s="11" t="s">
        <v>32</v>
      </c>
    </row>
  </sheetData>
  <mergeCells count="8">
    <mergeCell ref="A1:G1"/>
    <mergeCell ref="C7:G7"/>
    <mergeCell ref="C8:G8"/>
    <mergeCell ref="A13:G13"/>
    <mergeCell ref="A28:D28"/>
    <mergeCell ref="A29:E29"/>
    <mergeCell ref="A30:G30"/>
    <mergeCell ref="A31:E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8.6796875" defaultRowHeight="15" customHeight="false" zeroHeight="false" outlineLevelRow="0" outlineLevelCol="0"/>
  <cols>
    <col collapsed="false" customWidth="true" hidden="false" outlineLevel="0" max="1" min="1" style="0" width="15.17"/>
    <col collapsed="false" customWidth="true" hidden="false" outlineLevel="0" max="2" min="2" style="0" width="33.13"/>
    <col collapsed="false" customWidth="true" hidden="false" outlineLevel="0" max="7" min="3" style="0" width="13.72"/>
  </cols>
  <sheetData>
    <row r="1" customFormat="false" ht="17.25" hidden="false" customHeight="true" outlineLevel="0" collapsed="false">
      <c r="A1" s="1" t="s">
        <v>0</v>
      </c>
      <c r="B1" s="1"/>
      <c r="C1" s="1"/>
      <c r="D1" s="1"/>
      <c r="E1" s="1"/>
      <c r="F1" s="1"/>
      <c r="G1" s="1"/>
    </row>
    <row r="3" customFormat="false" ht="26.85" hidden="false" customHeight="false" outlineLevel="0" collapsed="false">
      <c r="A3" s="2" t="s">
        <v>1</v>
      </c>
      <c r="B3" s="2" t="s">
        <v>33</v>
      </c>
    </row>
    <row r="4" customFormat="false" ht="26.25" hidden="false" customHeight="true" outlineLevel="0" collapsed="false">
      <c r="A4" s="2" t="s">
        <v>3</v>
      </c>
      <c r="B4" s="2" t="n">
        <v>25</v>
      </c>
    </row>
    <row r="6" customFormat="false" ht="15" hidden="false" customHeight="false" outlineLevel="0" collapsed="false">
      <c r="A6" s="3" t="s">
        <v>4</v>
      </c>
    </row>
    <row r="7" customFormat="false" ht="15" hidden="false" customHeight="true" outlineLevel="0" collapsed="false">
      <c r="B7" s="2" t="s">
        <v>5</v>
      </c>
      <c r="C7" s="4" t="s">
        <v>6</v>
      </c>
      <c r="D7" s="4"/>
      <c r="E7" s="4"/>
      <c r="F7" s="4"/>
      <c r="G7" s="4"/>
    </row>
    <row r="8" customFormat="false" ht="51.75" hidden="false" customHeight="true" outlineLevel="0" collapsed="false">
      <c r="B8" s="2" t="s">
        <v>33</v>
      </c>
      <c r="C8" s="5" t="s">
        <v>7</v>
      </c>
      <c r="D8" s="5"/>
      <c r="E8" s="5"/>
      <c r="F8" s="5"/>
      <c r="G8" s="5"/>
    </row>
    <row r="11" customFormat="false" ht="15" hidden="false" customHeight="false" outlineLevel="0" collapsed="false">
      <c r="A11" s="3" t="s">
        <v>8</v>
      </c>
    </row>
    <row r="13" customFormat="false" ht="115.5" hidden="false" customHeight="true" outlineLevel="0" collapsed="false">
      <c r="A13" s="6" t="s">
        <v>34</v>
      </c>
      <c r="B13" s="6"/>
      <c r="C13" s="6"/>
      <c r="D13" s="6"/>
      <c r="E13" s="6"/>
      <c r="F13" s="6"/>
      <c r="G13" s="6"/>
    </row>
    <row r="15" customFormat="false" ht="26.25" hidden="false" customHeight="true" outlineLevel="0" collapsed="false">
      <c r="A15" s="7" t="s">
        <v>10</v>
      </c>
      <c r="B15" s="7" t="s">
        <v>11</v>
      </c>
      <c r="C15" s="7" t="s">
        <v>12</v>
      </c>
      <c r="D15" s="7" t="s">
        <v>13</v>
      </c>
      <c r="E15" s="7" t="s">
        <v>14</v>
      </c>
      <c r="F15" s="7" t="s">
        <v>15</v>
      </c>
      <c r="G15" s="7" t="s">
        <v>16</v>
      </c>
    </row>
    <row r="16" customFormat="false" ht="13.5" hidden="false" customHeight="true" outlineLevel="0" collapsed="false">
      <c r="A16" s="8" t="n">
        <v>1</v>
      </c>
      <c r="B16" s="9" t="s">
        <v>35</v>
      </c>
      <c r="C16" s="10" t="n">
        <v>1</v>
      </c>
      <c r="D16" s="10"/>
      <c r="E16" s="10" t="n">
        <v>5</v>
      </c>
      <c r="F16" s="10" t="n">
        <f aca="false">IFERROR(MIN(C16,D16)*E16/C16,0)</f>
        <v>5</v>
      </c>
      <c r="G16" s="10"/>
    </row>
    <row r="17" customFormat="false" ht="13.5" hidden="false" customHeight="true" outlineLevel="0" collapsed="false">
      <c r="A17" s="8" t="n">
        <v>2</v>
      </c>
      <c r="B17" s="9" t="s">
        <v>36</v>
      </c>
      <c r="C17" s="10" t="n">
        <v>1</v>
      </c>
      <c r="D17" s="10"/>
      <c r="E17" s="10" t="n">
        <v>5</v>
      </c>
      <c r="F17" s="10" t="n">
        <f aca="false">IFERROR(MIN(C17,D17)*E17/C17,0)</f>
        <v>5</v>
      </c>
      <c r="G17" s="10"/>
    </row>
    <row r="18" customFormat="false" ht="13.5" hidden="false" customHeight="true" outlineLevel="0" collapsed="false">
      <c r="A18" s="8" t="n">
        <v>3</v>
      </c>
      <c r="B18" s="9" t="s">
        <v>37</v>
      </c>
      <c r="C18" s="10" t="n">
        <v>1</v>
      </c>
      <c r="D18" s="10"/>
      <c r="E18" s="10" t="n">
        <v>5</v>
      </c>
      <c r="F18" s="10" t="n">
        <f aca="false">IFERROR(MIN(C18,D18)*E18/C18,0)</f>
        <v>5</v>
      </c>
      <c r="G18" s="10"/>
    </row>
    <row r="19" customFormat="false" ht="13.5" hidden="false" customHeight="true" outlineLevel="0" collapsed="false">
      <c r="A19" s="8" t="n">
        <v>4</v>
      </c>
      <c r="B19" s="9" t="s">
        <v>38</v>
      </c>
      <c r="C19" s="10" t="n">
        <v>10</v>
      </c>
      <c r="D19" s="10"/>
      <c r="E19" s="10" t="n">
        <v>10</v>
      </c>
      <c r="F19" s="10" t="n">
        <f aca="false">IFERROR(MIN(C19,D19)*E19/C19,0)</f>
        <v>10</v>
      </c>
      <c r="G19" s="10"/>
    </row>
    <row r="20" customFormat="false" ht="13.5" hidden="false" customHeight="true" outlineLevel="0" collapsed="false">
      <c r="A20" s="8" t="n">
        <v>5</v>
      </c>
      <c r="B20" s="9" t="s">
        <v>39</v>
      </c>
      <c r="C20" s="10" t="n">
        <v>3</v>
      </c>
      <c r="D20" s="10"/>
      <c r="E20" s="10" t="n">
        <v>9</v>
      </c>
      <c r="F20" s="10" t="n">
        <f aca="false">IFERROR(MIN(C20,D20)*E20/C20,0)</f>
        <v>9</v>
      </c>
      <c r="G20" s="10"/>
    </row>
    <row r="21" customFormat="false" ht="13.5" hidden="false" customHeight="true" outlineLevel="0" collapsed="false">
      <c r="A21" s="8" t="n">
        <v>6</v>
      </c>
      <c r="B21" s="9" t="s">
        <v>40</v>
      </c>
      <c r="C21" s="10" t="n">
        <v>2</v>
      </c>
      <c r="D21" s="10"/>
      <c r="E21" s="10" t="n">
        <v>9</v>
      </c>
      <c r="F21" s="10" t="n">
        <f aca="false">IFERROR(MIN(C21,D21)*E21/C21,0)</f>
        <v>9</v>
      </c>
      <c r="G21" s="10"/>
    </row>
    <row r="22" customFormat="false" ht="13.5" hidden="false" customHeight="true" outlineLevel="0" collapsed="false">
      <c r="A22" s="8" t="n">
        <v>7</v>
      </c>
      <c r="B22" s="9" t="s">
        <v>41</v>
      </c>
      <c r="C22" s="10" t="n">
        <v>2</v>
      </c>
      <c r="D22" s="10"/>
      <c r="E22" s="10" t="n">
        <v>9</v>
      </c>
      <c r="F22" s="10" t="n">
        <f aca="false">IFERROR(MIN(C22,D22)*E22/C22,0)</f>
        <v>9</v>
      </c>
      <c r="G22" s="10"/>
    </row>
    <row r="23" customFormat="false" ht="13.5" hidden="false" customHeight="true" outlineLevel="0" collapsed="false">
      <c r="A23" s="8" t="n">
        <v>8</v>
      </c>
      <c r="B23" s="9" t="s">
        <v>42</v>
      </c>
      <c r="C23" s="10" t="n">
        <v>2</v>
      </c>
      <c r="D23" s="10"/>
      <c r="E23" s="10" t="n">
        <v>8</v>
      </c>
      <c r="F23" s="10" t="n">
        <f aca="false">IFERROR(MIN(C23,D23)*E23/C23,0)</f>
        <v>8</v>
      </c>
      <c r="G23" s="10"/>
    </row>
    <row r="24" customFormat="false" ht="13.5" hidden="false" customHeight="true" outlineLevel="0" collapsed="false">
      <c r="A24" s="8" t="n">
        <v>9</v>
      </c>
      <c r="B24" s="9" t="s">
        <v>43</v>
      </c>
      <c r="C24" s="10" t="n">
        <v>1</v>
      </c>
      <c r="D24" s="10"/>
      <c r="E24" s="10" t="n">
        <v>6</v>
      </c>
      <c r="F24" s="10" t="n">
        <f aca="false">IFERROR(MIN(C24,D24)*E24/C24,0)</f>
        <v>6</v>
      </c>
      <c r="G24" s="10"/>
    </row>
    <row r="25" customFormat="false" ht="13.5" hidden="false" customHeight="true" outlineLevel="0" collapsed="false">
      <c r="A25" s="8" t="n">
        <v>10</v>
      </c>
      <c r="B25" s="9" t="s">
        <v>44</v>
      </c>
      <c r="C25" s="10" t="n">
        <v>1</v>
      </c>
      <c r="D25" s="10"/>
      <c r="E25" s="10" t="n">
        <v>7</v>
      </c>
      <c r="F25" s="10" t="n">
        <f aca="false">IFERROR(MIN(C25,D25)*E25/C25,0)</f>
        <v>7</v>
      </c>
      <c r="G25" s="10"/>
    </row>
    <row r="26" customFormat="false" ht="13.5" hidden="false" customHeight="true" outlineLevel="0" collapsed="false">
      <c r="A26" s="8" t="n">
        <v>11</v>
      </c>
      <c r="B26" s="9" t="s">
        <v>45</v>
      </c>
      <c r="C26" s="10" t="n">
        <v>4</v>
      </c>
      <c r="D26" s="10"/>
      <c r="E26" s="10" t="n">
        <v>6</v>
      </c>
      <c r="F26" s="10" t="n">
        <f aca="false">IFERROR(MIN(C26,D26)*E26/C26,0)</f>
        <v>6</v>
      </c>
      <c r="G26" s="10"/>
    </row>
    <row r="27" customFormat="false" ht="13.5" hidden="false" customHeight="true" outlineLevel="0" collapsed="false">
      <c r="A27" s="8" t="n">
        <v>12</v>
      </c>
      <c r="B27" s="9" t="s">
        <v>46</v>
      </c>
      <c r="C27" s="10" t="n">
        <v>10</v>
      </c>
      <c r="D27" s="10"/>
      <c r="E27" s="10" t="n">
        <v>5</v>
      </c>
      <c r="F27" s="10" t="n">
        <f aca="false">IFERROR(MIN(C27,D27)*E27/C27,0)</f>
        <v>5</v>
      </c>
      <c r="G27" s="10"/>
    </row>
    <row r="28" customFormat="false" ht="13.5" hidden="false" customHeight="true" outlineLevel="0" collapsed="false">
      <c r="A28" s="8" t="n">
        <v>13</v>
      </c>
      <c r="B28" s="9" t="s">
        <v>47</v>
      </c>
      <c r="C28" s="10" t="n">
        <v>10</v>
      </c>
      <c r="D28" s="10"/>
      <c r="E28" s="10" t="n">
        <v>4</v>
      </c>
      <c r="F28" s="10" t="n">
        <f aca="false">IFERROR(MIN(C28,D28)*E28/C28,0)</f>
        <v>4</v>
      </c>
      <c r="G28" s="10"/>
    </row>
    <row r="29" customFormat="false" ht="13.5" hidden="false" customHeight="true" outlineLevel="0" collapsed="false">
      <c r="A29" s="8" t="n">
        <v>14</v>
      </c>
      <c r="B29" s="9" t="s">
        <v>48</v>
      </c>
      <c r="C29" s="10" t="n">
        <v>4</v>
      </c>
      <c r="D29" s="10"/>
      <c r="E29" s="10" t="n">
        <v>5</v>
      </c>
      <c r="F29" s="10" t="n">
        <f aca="false">IFERROR(MIN(C29,D29)*E29/C29,0)</f>
        <v>5</v>
      </c>
      <c r="G29" s="10"/>
    </row>
    <row r="30" customFormat="false" ht="13.5" hidden="false" customHeight="true" outlineLevel="0" collapsed="false">
      <c r="A30" s="8" t="n">
        <v>15</v>
      </c>
      <c r="B30" s="9" t="s">
        <v>49</v>
      </c>
      <c r="C30" s="10" t="n">
        <v>10</v>
      </c>
      <c r="D30" s="10"/>
      <c r="E30" s="10" t="n">
        <v>8</v>
      </c>
      <c r="F30" s="10" t="n">
        <f aca="false">IFERROR(MIN(C30,D30)*E30/C30,0)</f>
        <v>8</v>
      </c>
      <c r="G30" s="10"/>
    </row>
    <row r="31" customFormat="false" ht="13.5" hidden="false" customHeight="true" outlineLevel="0" collapsed="false">
      <c r="A31" s="8" t="n">
        <v>16</v>
      </c>
      <c r="B31" s="9" t="s">
        <v>50</v>
      </c>
      <c r="C31" s="10" t="n">
        <v>3</v>
      </c>
      <c r="D31" s="10"/>
      <c r="E31" s="10" t="n">
        <v>4</v>
      </c>
      <c r="F31" s="10" t="n">
        <f aca="false">IFERROR(MIN(C31,D31)*E31/C31,0)</f>
        <v>4</v>
      </c>
      <c r="G31" s="10"/>
    </row>
    <row r="32" customFormat="false" ht="15" hidden="false" customHeight="false" outlineLevel="0" collapsed="false">
      <c r="A32" s="11" t="s">
        <v>29</v>
      </c>
      <c r="B32" s="11"/>
      <c r="C32" s="11"/>
      <c r="D32" s="11"/>
      <c r="E32" s="11" t="n">
        <f aca="false">SUM(E16:E31)</f>
        <v>105</v>
      </c>
      <c r="F32" s="11" t="n">
        <f aca="false">SUM(F16:F31)</f>
        <v>105</v>
      </c>
      <c r="G32" s="12"/>
    </row>
    <row r="33" customFormat="false" ht="15" hidden="false" customHeight="false" outlineLevel="0" collapsed="false">
      <c r="A33" s="11" t="s">
        <v>30</v>
      </c>
      <c r="B33" s="11"/>
      <c r="C33" s="11"/>
      <c r="D33" s="11"/>
      <c r="E33" s="11"/>
      <c r="F33" s="11" t="n">
        <f aca="false">F32/E32*100</f>
        <v>100</v>
      </c>
      <c r="G33" s="12"/>
    </row>
    <row r="34" customFormat="false" ht="9.75" hidden="false" customHeight="true" outlineLevel="0" collapsed="false">
      <c r="A34" s="13"/>
      <c r="B34" s="13"/>
      <c r="C34" s="13"/>
      <c r="D34" s="13"/>
      <c r="E34" s="13"/>
      <c r="F34" s="13"/>
      <c r="G34" s="13"/>
    </row>
    <row r="35" customFormat="false" ht="15" hidden="false" customHeight="false" outlineLevel="0" collapsed="false">
      <c r="A35" s="11" t="s">
        <v>31</v>
      </c>
      <c r="B35" s="11"/>
      <c r="C35" s="11"/>
      <c r="D35" s="11"/>
      <c r="E35" s="11"/>
      <c r="F35" s="11" t="n">
        <f aca="false">F33*30/100</f>
        <v>30</v>
      </c>
      <c r="G35" s="11" t="s">
        <v>32</v>
      </c>
    </row>
  </sheetData>
  <mergeCells count="8">
    <mergeCell ref="A1:G1"/>
    <mergeCell ref="C7:G7"/>
    <mergeCell ref="C8:G8"/>
    <mergeCell ref="A13:G13"/>
    <mergeCell ref="A32:D32"/>
    <mergeCell ref="A33:E33"/>
    <mergeCell ref="A34:G34"/>
    <mergeCell ref="A35:E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3" activeCellId="0" sqref="M13"/>
    </sheetView>
  </sheetViews>
  <sheetFormatPr defaultColWidth="8.6796875" defaultRowHeight="15" customHeight="false" zeroHeight="false" outlineLevelRow="0" outlineLevelCol="0"/>
  <cols>
    <col collapsed="false" customWidth="true" hidden="false" outlineLevel="0" max="1" min="1" style="0" width="15.17"/>
    <col collapsed="false" customWidth="true" hidden="false" outlineLevel="0" max="2" min="2" style="14" width="38.4"/>
    <col collapsed="false" customWidth="true" hidden="false" outlineLevel="0" max="7" min="3" style="0" width="13.72"/>
  </cols>
  <sheetData>
    <row r="1" customFormat="false" ht="17.25" hidden="false" customHeight="true" outlineLevel="0" collapsed="false">
      <c r="A1" s="1" t="s">
        <v>0</v>
      </c>
      <c r="B1" s="1"/>
      <c r="C1" s="1"/>
      <c r="D1" s="1"/>
      <c r="E1" s="1"/>
      <c r="F1" s="1"/>
      <c r="G1" s="1"/>
    </row>
    <row r="3" customFormat="false" ht="26.85" hidden="false" customHeight="false" outlineLevel="0" collapsed="false">
      <c r="A3" s="2" t="s">
        <v>1</v>
      </c>
      <c r="B3" s="2" t="s">
        <v>51</v>
      </c>
    </row>
    <row r="4" customFormat="false" ht="26.25" hidden="false" customHeight="true" outlineLevel="0" collapsed="false">
      <c r="A4" s="2" t="s">
        <v>3</v>
      </c>
      <c r="B4" s="2" t="n">
        <v>25</v>
      </c>
    </row>
    <row r="6" customFormat="false" ht="15" hidden="false" customHeight="false" outlineLevel="0" collapsed="false">
      <c r="A6" s="3" t="s">
        <v>4</v>
      </c>
    </row>
    <row r="7" customFormat="false" ht="15" hidden="false" customHeight="true" outlineLevel="0" collapsed="false">
      <c r="B7" s="2" t="s">
        <v>5</v>
      </c>
      <c r="C7" s="4" t="s">
        <v>6</v>
      </c>
      <c r="D7" s="4"/>
      <c r="E7" s="4"/>
      <c r="F7" s="4"/>
      <c r="G7" s="4"/>
    </row>
    <row r="8" customFormat="false" ht="51.75" hidden="false" customHeight="true" outlineLevel="0" collapsed="false">
      <c r="B8" s="2" t="s">
        <v>51</v>
      </c>
      <c r="C8" s="5" t="s">
        <v>7</v>
      </c>
      <c r="D8" s="5"/>
      <c r="E8" s="5"/>
      <c r="F8" s="5"/>
      <c r="G8" s="5"/>
    </row>
    <row r="11" customFormat="false" ht="15" hidden="false" customHeight="false" outlineLevel="0" collapsed="false">
      <c r="A11" s="3" t="s">
        <v>8</v>
      </c>
    </row>
    <row r="13" customFormat="false" ht="115.5" hidden="false" customHeight="true" outlineLevel="0" collapsed="false">
      <c r="A13" s="6" t="s">
        <v>52</v>
      </c>
      <c r="B13" s="6"/>
      <c r="C13" s="6"/>
      <c r="D13" s="6"/>
      <c r="E13" s="6"/>
      <c r="F13" s="6"/>
      <c r="G13" s="6"/>
    </row>
    <row r="15" customFormat="false" ht="26.25" hidden="false" customHeight="true" outlineLevel="0" collapsed="false">
      <c r="A15" s="7" t="s">
        <v>10</v>
      </c>
      <c r="B15" s="7" t="s">
        <v>11</v>
      </c>
      <c r="C15" s="7" t="s">
        <v>12</v>
      </c>
      <c r="D15" s="7" t="s">
        <v>13</v>
      </c>
      <c r="E15" s="7" t="s">
        <v>14</v>
      </c>
      <c r="F15" s="7" t="s">
        <v>15</v>
      </c>
      <c r="G15" s="7" t="s">
        <v>16</v>
      </c>
    </row>
    <row r="16" customFormat="false" ht="13.5" hidden="false" customHeight="true" outlineLevel="0" collapsed="false">
      <c r="A16" s="8" t="n">
        <v>1</v>
      </c>
      <c r="B16" s="9" t="s">
        <v>53</v>
      </c>
      <c r="C16" s="10" t="n">
        <v>12</v>
      </c>
      <c r="D16" s="10"/>
      <c r="E16" s="10" t="n">
        <v>8</v>
      </c>
      <c r="F16" s="10" t="n">
        <f aca="false">IFERROR(MIN(C16,D16)*E16/C16,0)</f>
        <v>8</v>
      </c>
      <c r="G16" s="10"/>
    </row>
    <row r="17" customFormat="false" ht="13.5" hidden="false" customHeight="true" outlineLevel="0" collapsed="false">
      <c r="A17" s="8" t="n">
        <v>2</v>
      </c>
      <c r="B17" s="9" t="s">
        <v>54</v>
      </c>
      <c r="C17" s="10" t="n">
        <v>5</v>
      </c>
      <c r="D17" s="10"/>
      <c r="E17" s="10" t="n">
        <v>6</v>
      </c>
      <c r="F17" s="10" t="n">
        <f aca="false">IFERROR(MIN(C17,D17)*E17/C17,0)</f>
        <v>6</v>
      </c>
      <c r="G17" s="10"/>
    </row>
    <row r="18" customFormat="false" ht="13.5" hidden="false" customHeight="true" outlineLevel="0" collapsed="false">
      <c r="A18" s="8" t="n">
        <v>3</v>
      </c>
      <c r="B18" s="9" t="s">
        <v>55</v>
      </c>
      <c r="C18" s="10" t="n">
        <v>5</v>
      </c>
      <c r="D18" s="10"/>
      <c r="E18" s="10" t="n">
        <v>6</v>
      </c>
      <c r="F18" s="10" t="n">
        <f aca="false">IFERROR(MIN(C18,D18)*E18/C18,0)</f>
        <v>6</v>
      </c>
      <c r="G18" s="10"/>
    </row>
    <row r="19" customFormat="false" ht="13.5" hidden="false" customHeight="true" outlineLevel="0" collapsed="false">
      <c r="A19" s="8" t="n">
        <v>4</v>
      </c>
      <c r="B19" s="9" t="s">
        <v>56</v>
      </c>
      <c r="C19" s="10" t="n">
        <v>5</v>
      </c>
      <c r="D19" s="10"/>
      <c r="E19" s="10" t="n">
        <v>6</v>
      </c>
      <c r="F19" s="10" t="n">
        <f aca="false">IFERROR(MIN(C19,D19)*E19/C19,0)</f>
        <v>6</v>
      </c>
      <c r="G19" s="10"/>
    </row>
    <row r="20" customFormat="false" ht="13.5" hidden="false" customHeight="true" outlineLevel="0" collapsed="false">
      <c r="A20" s="8" t="n">
        <v>5</v>
      </c>
      <c r="B20" s="9" t="s">
        <v>57</v>
      </c>
      <c r="C20" s="10"/>
      <c r="D20" s="10"/>
      <c r="E20" s="10" t="n">
        <v>6</v>
      </c>
      <c r="F20" s="10" t="n">
        <f aca="false">IFERROR(MIN(C20,D20)*E20/C20,0)</f>
        <v>0</v>
      </c>
      <c r="G20" s="10"/>
    </row>
    <row r="21" customFormat="false" ht="26.85" hidden="false" customHeight="false" outlineLevel="0" collapsed="false">
      <c r="A21" s="8" t="n">
        <v>6</v>
      </c>
      <c r="B21" s="9" t="s">
        <v>58</v>
      </c>
      <c r="C21" s="10" t="n">
        <v>5</v>
      </c>
      <c r="D21" s="10"/>
      <c r="E21" s="10" t="n">
        <v>8</v>
      </c>
      <c r="F21" s="10" t="n">
        <f aca="false">IFERROR(MIN(C21,D21)*E21/C21,0)</f>
        <v>8</v>
      </c>
      <c r="G21" s="10"/>
    </row>
    <row r="22" customFormat="false" ht="26.85" hidden="false" customHeight="false" outlineLevel="0" collapsed="false">
      <c r="A22" s="8" t="n">
        <v>7</v>
      </c>
      <c r="B22" s="9" t="s">
        <v>59</v>
      </c>
      <c r="C22" s="10" t="n">
        <v>5</v>
      </c>
      <c r="D22" s="10"/>
      <c r="E22" s="10" t="n">
        <v>8</v>
      </c>
      <c r="F22" s="10" t="n">
        <f aca="false">IFERROR(MIN(C22,D22)*E22/C22,0)</f>
        <v>8</v>
      </c>
      <c r="G22" s="10"/>
    </row>
    <row r="23" customFormat="false" ht="13.5" hidden="false" customHeight="true" outlineLevel="0" collapsed="false">
      <c r="A23" s="8" t="n">
        <v>8</v>
      </c>
      <c r="B23" s="9" t="s">
        <v>60</v>
      </c>
      <c r="C23" s="10" t="n">
        <v>5</v>
      </c>
      <c r="D23" s="10"/>
      <c r="E23" s="10" t="n">
        <v>5</v>
      </c>
      <c r="F23" s="10" t="n">
        <f aca="false">IFERROR(MIN(C23,D23)*E23/C23,0)</f>
        <v>5</v>
      </c>
      <c r="G23" s="10"/>
    </row>
    <row r="24" customFormat="false" ht="13.5" hidden="false" customHeight="true" outlineLevel="0" collapsed="false">
      <c r="A24" s="8" t="n">
        <v>9</v>
      </c>
      <c r="B24" s="9" t="s">
        <v>61</v>
      </c>
      <c r="C24" s="10" t="n">
        <v>5</v>
      </c>
      <c r="D24" s="10"/>
      <c r="E24" s="10" t="n">
        <v>5</v>
      </c>
      <c r="F24" s="10" t="n">
        <f aca="false">IFERROR(MIN(C24,D24)*E24/C24,0)</f>
        <v>5</v>
      </c>
      <c r="G24" s="10"/>
    </row>
    <row r="25" customFormat="false" ht="13.5" hidden="false" customHeight="true" outlineLevel="0" collapsed="false">
      <c r="A25" s="8" t="n">
        <v>10</v>
      </c>
      <c r="B25" s="9" t="s">
        <v>62</v>
      </c>
      <c r="C25" s="10" t="n">
        <v>5</v>
      </c>
      <c r="D25" s="10"/>
      <c r="E25" s="10" t="n">
        <v>6</v>
      </c>
      <c r="F25" s="10" t="n">
        <f aca="false">IFERROR(MIN(C25,D25)*E25/C25,0)</f>
        <v>6</v>
      </c>
      <c r="G25" s="10"/>
    </row>
    <row r="26" customFormat="false" ht="13.5" hidden="false" customHeight="true" outlineLevel="0" collapsed="false">
      <c r="A26" s="8" t="n">
        <v>11</v>
      </c>
      <c r="B26" s="9" t="s">
        <v>63</v>
      </c>
      <c r="C26" s="10" t="n">
        <v>5</v>
      </c>
      <c r="D26" s="10"/>
      <c r="E26" s="10" t="n">
        <v>6</v>
      </c>
      <c r="F26" s="10" t="n">
        <f aca="false">IFERROR(MIN(C26,D26)*E26/C26,0)</f>
        <v>6</v>
      </c>
      <c r="G26" s="10"/>
    </row>
    <row r="27" customFormat="false" ht="13.5" hidden="false" customHeight="true" outlineLevel="0" collapsed="false">
      <c r="A27" s="8" t="n">
        <v>12</v>
      </c>
      <c r="B27" s="9" t="s">
        <v>64</v>
      </c>
      <c r="C27" s="10" t="n">
        <v>2</v>
      </c>
      <c r="D27" s="10"/>
      <c r="E27" s="10" t="n">
        <v>6</v>
      </c>
      <c r="F27" s="10" t="n">
        <f aca="false">IFERROR(MIN(C27,D27)*E27/C27,0)</f>
        <v>6</v>
      </c>
      <c r="G27" s="10"/>
    </row>
    <row r="28" customFormat="false" ht="13.5" hidden="false" customHeight="true" outlineLevel="0" collapsed="false">
      <c r="A28" s="8" t="n">
        <v>13</v>
      </c>
      <c r="B28" s="9" t="s">
        <v>65</v>
      </c>
      <c r="C28" s="10" t="n">
        <v>2</v>
      </c>
      <c r="D28" s="10"/>
      <c r="E28" s="10" t="n">
        <v>6</v>
      </c>
      <c r="F28" s="10" t="n">
        <f aca="false">IFERROR(MIN(C28,D28)*E28/C28,0)</f>
        <v>6</v>
      </c>
      <c r="G28" s="10"/>
    </row>
    <row r="29" customFormat="false" ht="13.5" hidden="false" customHeight="true" outlineLevel="0" collapsed="false">
      <c r="A29" s="8" t="n">
        <v>14</v>
      </c>
      <c r="B29" s="9" t="s">
        <v>66</v>
      </c>
      <c r="C29" s="10" t="n">
        <v>1</v>
      </c>
      <c r="D29" s="10"/>
      <c r="E29" s="10" t="n">
        <v>4</v>
      </c>
      <c r="F29" s="10" t="n">
        <f aca="false">IFERROR(MIN(C29,D29)*E29/C29,0)</f>
        <v>4</v>
      </c>
      <c r="G29" s="10"/>
    </row>
    <row r="30" customFormat="false" ht="13.5" hidden="false" customHeight="true" outlineLevel="0" collapsed="false">
      <c r="A30" s="8" t="n">
        <v>15</v>
      </c>
      <c r="B30" s="9" t="s">
        <v>67</v>
      </c>
      <c r="C30" s="10" t="n">
        <v>8</v>
      </c>
      <c r="D30" s="10"/>
      <c r="E30" s="10" t="n">
        <v>9</v>
      </c>
      <c r="F30" s="10" t="n">
        <f aca="false">IFERROR(MIN(C30,D30)*E30/C30,0)</f>
        <v>9</v>
      </c>
      <c r="G30" s="10"/>
    </row>
    <row r="31" customFormat="false" ht="13.5" hidden="false" customHeight="true" outlineLevel="0" collapsed="false">
      <c r="A31" s="8" t="n">
        <v>16</v>
      </c>
      <c r="B31" s="9" t="s">
        <v>68</v>
      </c>
      <c r="C31" s="10" t="n">
        <v>5</v>
      </c>
      <c r="D31" s="10"/>
      <c r="E31" s="10" t="n">
        <v>8</v>
      </c>
      <c r="F31" s="10" t="n">
        <f aca="false">IFERROR(MIN(C31,D31)*E31/C31,0)</f>
        <v>8</v>
      </c>
      <c r="G31" s="10"/>
    </row>
    <row r="32" customFormat="false" ht="13.5" hidden="false" customHeight="true" outlineLevel="0" collapsed="false">
      <c r="A32" s="8" t="n">
        <v>17</v>
      </c>
      <c r="B32" s="9" t="s">
        <v>69</v>
      </c>
      <c r="C32" s="10" t="n">
        <v>4</v>
      </c>
      <c r="D32" s="10"/>
      <c r="E32" s="10" t="n">
        <v>4</v>
      </c>
      <c r="F32" s="10" t="n">
        <f aca="false">IFERROR(MIN(C32,D32)*E32/C32,0)</f>
        <v>4</v>
      </c>
      <c r="G32" s="10"/>
    </row>
    <row r="33" customFormat="false" ht="13.5" hidden="false" customHeight="true" outlineLevel="0" collapsed="false">
      <c r="A33" s="8" t="n">
        <v>18</v>
      </c>
      <c r="B33" s="9" t="s">
        <v>70</v>
      </c>
      <c r="C33" s="10" t="n">
        <v>5</v>
      </c>
      <c r="D33" s="10"/>
      <c r="E33" s="10" t="n">
        <v>7</v>
      </c>
      <c r="F33" s="10" t="n">
        <f aca="false">IFERROR(MIN(C33,D33)*E33/C33,0)</f>
        <v>7</v>
      </c>
      <c r="G33" s="10"/>
    </row>
    <row r="34" customFormat="false" ht="13.5" hidden="false" customHeight="true" outlineLevel="0" collapsed="false">
      <c r="A34" s="8" t="n">
        <v>19</v>
      </c>
      <c r="B34" s="9" t="s">
        <v>71</v>
      </c>
      <c r="C34" s="10" t="n">
        <v>5</v>
      </c>
      <c r="D34" s="10"/>
      <c r="E34" s="10" t="n">
        <v>7</v>
      </c>
      <c r="F34" s="10" t="n">
        <f aca="false">IFERROR(MIN(C34,D34)*E34/C34,0)</f>
        <v>7</v>
      </c>
      <c r="G34" s="10"/>
    </row>
    <row r="35" customFormat="false" ht="26.85" hidden="false" customHeight="false" outlineLevel="0" collapsed="false">
      <c r="A35" s="8" t="n">
        <v>20</v>
      </c>
      <c r="B35" s="9" t="s">
        <v>72</v>
      </c>
      <c r="C35" s="10" t="n">
        <v>5</v>
      </c>
      <c r="D35" s="10"/>
      <c r="E35" s="10" t="n">
        <v>7</v>
      </c>
      <c r="F35" s="10" t="n">
        <f aca="false">IFERROR(MIN(C35,D35)*E35/C35,0)</f>
        <v>7</v>
      </c>
      <c r="G35" s="10"/>
    </row>
    <row r="36" customFormat="false" ht="13.5" hidden="false" customHeight="true" outlineLevel="0" collapsed="false">
      <c r="A36" s="8" t="n">
        <v>21</v>
      </c>
      <c r="B36" s="9" t="s">
        <v>73</v>
      </c>
      <c r="C36" s="10" t="n">
        <v>1</v>
      </c>
      <c r="D36" s="10"/>
      <c r="E36" s="10" t="n">
        <v>9</v>
      </c>
      <c r="F36" s="10" t="n">
        <f aca="false">IFERROR(MIN(C36,D36)*E36/C36,0)</f>
        <v>9</v>
      </c>
      <c r="G36" s="10"/>
    </row>
    <row r="37" customFormat="false" ht="13.5" hidden="false" customHeight="true" outlineLevel="0" collapsed="false">
      <c r="A37" s="8" t="n">
        <v>22</v>
      </c>
      <c r="B37" s="9" t="s">
        <v>74</v>
      </c>
      <c r="C37" s="10" t="n">
        <v>2</v>
      </c>
      <c r="D37" s="10"/>
      <c r="E37" s="10" t="n">
        <v>6</v>
      </c>
      <c r="F37" s="10" t="n">
        <f aca="false">IFERROR(MIN(C37,D37)*E37/C37,0)</f>
        <v>6</v>
      </c>
      <c r="G37" s="10"/>
    </row>
    <row r="38" customFormat="false" ht="26.85" hidden="false" customHeight="false" outlineLevel="0" collapsed="false">
      <c r="A38" s="8" t="n">
        <v>23</v>
      </c>
      <c r="B38" s="9" t="s">
        <v>75</v>
      </c>
      <c r="C38" s="10" t="n">
        <v>5</v>
      </c>
      <c r="D38" s="10"/>
      <c r="E38" s="10" t="n">
        <v>6</v>
      </c>
      <c r="F38" s="10" t="n">
        <f aca="false">IFERROR(MIN(C38,D38)*E38/C38,0)</f>
        <v>6</v>
      </c>
      <c r="G38" s="10"/>
    </row>
    <row r="39" customFormat="false" ht="13.5" hidden="false" customHeight="true" outlineLevel="0" collapsed="false">
      <c r="A39" s="8" t="n">
        <v>24</v>
      </c>
      <c r="B39" s="9" t="s">
        <v>53</v>
      </c>
      <c r="C39" s="10" t="n">
        <v>12</v>
      </c>
      <c r="D39" s="10"/>
      <c r="E39" s="10" t="n">
        <v>8</v>
      </c>
      <c r="F39" s="10" t="n">
        <f aca="false">IFERROR(MIN(C39,D39)*E39/C39,0)</f>
        <v>8</v>
      </c>
      <c r="G39" s="10"/>
    </row>
    <row r="40" customFormat="false" ht="15" hidden="false" customHeight="false" outlineLevel="0" collapsed="false">
      <c r="A40" s="11" t="s">
        <v>29</v>
      </c>
      <c r="B40" s="11"/>
      <c r="C40" s="11"/>
      <c r="D40" s="11"/>
      <c r="E40" s="11" t="n">
        <f aca="false">SUM(E16:E39)</f>
        <v>157</v>
      </c>
      <c r="F40" s="11" t="n">
        <f aca="false">SUM(F16:F39)</f>
        <v>151</v>
      </c>
      <c r="G40" s="12"/>
    </row>
    <row r="41" customFormat="false" ht="15" hidden="false" customHeight="false" outlineLevel="0" collapsed="false">
      <c r="A41" s="11" t="s">
        <v>30</v>
      </c>
      <c r="B41" s="11"/>
      <c r="C41" s="11"/>
      <c r="D41" s="11"/>
      <c r="E41" s="11"/>
      <c r="F41" s="11" t="n">
        <f aca="false">F40/E40*100</f>
        <v>96.1783439490446</v>
      </c>
      <c r="G41" s="12"/>
    </row>
    <row r="42" customFormat="false" ht="9.75" hidden="false" customHeight="true" outlineLevel="0" collapsed="false">
      <c r="A42" s="13"/>
      <c r="B42" s="13"/>
      <c r="C42" s="13"/>
      <c r="D42" s="13"/>
      <c r="E42" s="13"/>
      <c r="F42" s="13"/>
      <c r="G42" s="13"/>
    </row>
    <row r="43" customFormat="false" ht="15" hidden="false" customHeight="false" outlineLevel="0" collapsed="false">
      <c r="A43" s="11" t="s">
        <v>31</v>
      </c>
      <c r="B43" s="11"/>
      <c r="C43" s="11"/>
      <c r="D43" s="11"/>
      <c r="E43" s="11"/>
      <c r="F43" s="11" t="n">
        <f aca="false">F41*30/100</f>
        <v>28.8535031847134</v>
      </c>
      <c r="G43" s="11" t="s">
        <v>32</v>
      </c>
    </row>
  </sheetData>
  <mergeCells count="8">
    <mergeCell ref="A1:G1"/>
    <mergeCell ref="C7:G7"/>
    <mergeCell ref="C8:G8"/>
    <mergeCell ref="A13:G13"/>
    <mergeCell ref="A40:D40"/>
    <mergeCell ref="A41:E41"/>
    <mergeCell ref="A42:G42"/>
    <mergeCell ref="A43:E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O15" activeCellId="0" sqref="O15"/>
    </sheetView>
  </sheetViews>
  <sheetFormatPr defaultColWidth="8.6796875" defaultRowHeight="15" customHeight="false" zeroHeight="false" outlineLevelRow="0" outlineLevelCol="0"/>
  <cols>
    <col collapsed="false" customWidth="true" hidden="false" outlineLevel="0" max="1" min="1" style="0" width="15.17"/>
    <col collapsed="false" customWidth="true" hidden="false" outlineLevel="0" max="2" min="2" style="0" width="33.13"/>
    <col collapsed="false" customWidth="true" hidden="false" outlineLevel="0" max="7" min="3" style="0" width="13.72"/>
  </cols>
  <sheetData>
    <row r="1" customFormat="false" ht="17.25" hidden="false" customHeight="true" outlineLevel="0" collapsed="false">
      <c r="A1" s="1" t="s">
        <v>0</v>
      </c>
      <c r="B1" s="1"/>
      <c r="C1" s="1"/>
      <c r="D1" s="1"/>
      <c r="E1" s="1"/>
      <c r="F1" s="1"/>
      <c r="G1" s="1"/>
    </row>
    <row r="3" customFormat="false" ht="26.85" hidden="false" customHeight="false" outlineLevel="0" collapsed="false">
      <c r="A3" s="2" t="s">
        <v>1</v>
      </c>
      <c r="B3" s="2" t="s">
        <v>76</v>
      </c>
    </row>
    <row r="4" customFormat="false" ht="26.25" hidden="false" customHeight="true" outlineLevel="0" collapsed="false">
      <c r="A4" s="2" t="s">
        <v>3</v>
      </c>
      <c r="B4" s="2" t="n">
        <v>25</v>
      </c>
    </row>
    <row r="6" customFormat="false" ht="15" hidden="false" customHeight="false" outlineLevel="0" collapsed="false">
      <c r="A6" s="3" t="s">
        <v>4</v>
      </c>
    </row>
    <row r="7" customFormat="false" ht="15" hidden="false" customHeight="true" outlineLevel="0" collapsed="false">
      <c r="B7" s="2" t="s">
        <v>5</v>
      </c>
      <c r="C7" s="4" t="s">
        <v>6</v>
      </c>
      <c r="D7" s="4"/>
      <c r="E7" s="4"/>
      <c r="F7" s="4"/>
      <c r="G7" s="4"/>
    </row>
    <row r="8" customFormat="false" ht="51.75" hidden="false" customHeight="true" outlineLevel="0" collapsed="false">
      <c r="B8" s="2" t="s">
        <v>76</v>
      </c>
      <c r="C8" s="5" t="s">
        <v>7</v>
      </c>
      <c r="D8" s="5"/>
      <c r="E8" s="5"/>
      <c r="F8" s="5"/>
      <c r="G8" s="5"/>
    </row>
    <row r="11" customFormat="false" ht="15" hidden="false" customHeight="false" outlineLevel="0" collapsed="false">
      <c r="A11" s="3" t="s">
        <v>8</v>
      </c>
    </row>
    <row r="13" customFormat="false" ht="115.5" hidden="false" customHeight="true" outlineLevel="0" collapsed="false">
      <c r="A13" s="6" t="s">
        <v>77</v>
      </c>
      <c r="B13" s="6"/>
      <c r="C13" s="6"/>
      <c r="D13" s="6"/>
      <c r="E13" s="6"/>
      <c r="F13" s="6"/>
      <c r="G13" s="6"/>
    </row>
    <row r="15" customFormat="false" ht="26.25" hidden="false" customHeight="true" outlineLevel="0" collapsed="false">
      <c r="A15" s="7" t="s">
        <v>10</v>
      </c>
      <c r="B15" s="7" t="s">
        <v>11</v>
      </c>
      <c r="C15" s="7" t="s">
        <v>12</v>
      </c>
      <c r="D15" s="7" t="s">
        <v>13</v>
      </c>
      <c r="E15" s="7" t="s">
        <v>14</v>
      </c>
      <c r="F15" s="7" t="s">
        <v>15</v>
      </c>
      <c r="G15" s="7" t="s">
        <v>16</v>
      </c>
    </row>
    <row r="16" customFormat="false" ht="13.5" hidden="false" customHeight="true" outlineLevel="0" collapsed="false">
      <c r="A16" s="8" t="n">
        <v>1</v>
      </c>
      <c r="B16" s="9" t="s">
        <v>78</v>
      </c>
      <c r="C16" s="10" t="n">
        <v>1</v>
      </c>
      <c r="D16" s="10"/>
      <c r="E16" s="10" t="n">
        <v>10</v>
      </c>
      <c r="F16" s="10" t="n">
        <f aca="false">IFERROR(MIN(C16,D16)*E16/C16,0)</f>
        <v>10</v>
      </c>
      <c r="G16" s="10"/>
    </row>
    <row r="17" customFormat="false" ht="13.5" hidden="false" customHeight="true" outlineLevel="0" collapsed="false">
      <c r="A17" s="8" t="n">
        <v>2</v>
      </c>
      <c r="B17" s="9" t="s">
        <v>79</v>
      </c>
      <c r="C17" s="10" t="n">
        <v>1</v>
      </c>
      <c r="D17" s="10"/>
      <c r="E17" s="10" t="n">
        <v>8</v>
      </c>
      <c r="F17" s="10" t="n">
        <f aca="false">IFERROR(MIN(C17,D17)*E17/C17,0)</f>
        <v>8</v>
      </c>
      <c r="G17" s="10"/>
    </row>
    <row r="18" customFormat="false" ht="13.5" hidden="false" customHeight="true" outlineLevel="0" collapsed="false">
      <c r="A18" s="8" t="n">
        <v>3</v>
      </c>
      <c r="B18" s="9" t="s">
        <v>80</v>
      </c>
      <c r="C18" s="10" t="n">
        <v>1</v>
      </c>
      <c r="D18" s="10"/>
      <c r="E18" s="10" t="n">
        <v>7</v>
      </c>
      <c r="F18" s="10" t="n">
        <f aca="false">IFERROR(MIN(C18,D18)*E18/C18,0)</f>
        <v>7</v>
      </c>
      <c r="G18" s="10"/>
    </row>
    <row r="19" customFormat="false" ht="13.5" hidden="false" customHeight="true" outlineLevel="0" collapsed="false">
      <c r="A19" s="8" t="n">
        <v>4</v>
      </c>
      <c r="B19" s="9" t="s">
        <v>81</v>
      </c>
      <c r="C19" s="10" t="n">
        <v>1</v>
      </c>
      <c r="D19" s="10"/>
      <c r="E19" s="10" t="n">
        <v>8</v>
      </c>
      <c r="F19" s="10" t="n">
        <f aca="false">IFERROR(MIN(C19,D19)*E19/C19,0)</f>
        <v>8</v>
      </c>
      <c r="G19" s="10"/>
    </row>
    <row r="20" customFormat="false" ht="13.5" hidden="false" customHeight="true" outlineLevel="0" collapsed="false">
      <c r="A20" s="8" t="n">
        <v>5</v>
      </c>
      <c r="B20" s="9" t="s">
        <v>82</v>
      </c>
      <c r="C20" s="10" t="n">
        <v>1</v>
      </c>
      <c r="D20" s="10"/>
      <c r="E20" s="10" t="n">
        <v>7</v>
      </c>
      <c r="F20" s="10" t="n">
        <f aca="false">IFERROR(MIN(C20,D20)*E20/C20,0)</f>
        <v>7</v>
      </c>
      <c r="G20" s="10"/>
    </row>
    <row r="21" customFormat="false" ht="13.5" hidden="false" customHeight="true" outlineLevel="0" collapsed="false">
      <c r="A21" s="8" t="n">
        <v>6</v>
      </c>
      <c r="B21" s="9" t="s">
        <v>83</v>
      </c>
      <c r="C21" s="10" t="n">
        <v>1</v>
      </c>
      <c r="D21" s="10"/>
      <c r="E21" s="10" t="n">
        <v>5</v>
      </c>
      <c r="F21" s="10" t="n">
        <f aca="false">IFERROR(MIN(C21,D21)*E21/C21,0)</f>
        <v>5</v>
      </c>
      <c r="G21" s="10"/>
    </row>
    <row r="22" customFormat="false" ht="13.5" hidden="false" customHeight="true" outlineLevel="0" collapsed="false">
      <c r="A22" s="8" t="n">
        <v>7</v>
      </c>
      <c r="B22" s="9" t="s">
        <v>84</v>
      </c>
      <c r="C22" s="10" t="n">
        <v>1</v>
      </c>
      <c r="D22" s="10"/>
      <c r="E22" s="10" t="n">
        <v>5</v>
      </c>
      <c r="F22" s="10" t="n">
        <f aca="false">IFERROR(MIN(C22,D22)*E22/C22,0)</f>
        <v>5</v>
      </c>
      <c r="G22" s="10"/>
    </row>
    <row r="23" customFormat="false" ht="13.5" hidden="false" customHeight="true" outlineLevel="0" collapsed="false">
      <c r="A23" s="8" t="n">
        <v>8</v>
      </c>
      <c r="B23" s="9" t="s">
        <v>85</v>
      </c>
      <c r="C23" s="10" t="n">
        <v>1</v>
      </c>
      <c r="D23" s="10"/>
      <c r="E23" s="10" t="n">
        <v>5</v>
      </c>
      <c r="F23" s="10" t="n">
        <f aca="false">IFERROR(MIN(C23,D23)*E23/C23,0)</f>
        <v>5</v>
      </c>
      <c r="G23" s="10"/>
    </row>
    <row r="24" customFormat="false" ht="13.5" hidden="false" customHeight="true" outlineLevel="0" collapsed="false">
      <c r="A24" s="8" t="n">
        <v>9</v>
      </c>
      <c r="B24" s="9" t="s">
        <v>86</v>
      </c>
      <c r="C24" s="10" t="n">
        <v>1</v>
      </c>
      <c r="D24" s="10"/>
      <c r="E24" s="10" t="n">
        <v>5</v>
      </c>
      <c r="F24" s="10" t="n">
        <f aca="false">IFERROR(MIN(C24,D24)*E24/C24,0)</f>
        <v>5</v>
      </c>
      <c r="G24" s="10"/>
    </row>
    <row r="25" customFormat="false" ht="13.5" hidden="false" customHeight="true" outlineLevel="0" collapsed="false">
      <c r="A25" s="8" t="n">
        <v>10</v>
      </c>
      <c r="B25" s="9" t="s">
        <v>87</v>
      </c>
      <c r="C25" s="10" t="n">
        <v>2</v>
      </c>
      <c r="D25" s="10"/>
      <c r="E25" s="10" t="n">
        <v>5</v>
      </c>
      <c r="F25" s="10" t="n">
        <f aca="false">IFERROR(MIN(C25,D25)*E25/C25,0)</f>
        <v>5</v>
      </c>
      <c r="G25" s="10"/>
    </row>
    <row r="26" customFormat="false" ht="13.5" hidden="false" customHeight="true" outlineLevel="0" collapsed="false">
      <c r="A26" s="8" t="n">
        <v>11</v>
      </c>
      <c r="B26" s="9" t="s">
        <v>88</v>
      </c>
      <c r="C26" s="10" t="n">
        <v>2</v>
      </c>
      <c r="D26" s="10"/>
      <c r="E26" s="10" t="n">
        <v>4</v>
      </c>
      <c r="F26" s="10" t="n">
        <f aca="false">IFERROR(MIN(C26,D26)*E26/C26,0)</f>
        <v>4</v>
      </c>
      <c r="G26" s="10"/>
    </row>
    <row r="27" customFormat="false" ht="13.5" hidden="false" customHeight="true" outlineLevel="0" collapsed="false">
      <c r="A27" s="8" t="n">
        <v>12</v>
      </c>
      <c r="B27" s="9" t="s">
        <v>89</v>
      </c>
      <c r="C27" s="10" t="n">
        <v>2</v>
      </c>
      <c r="D27" s="10"/>
      <c r="E27" s="10" t="n">
        <v>4</v>
      </c>
      <c r="F27" s="10" t="n">
        <f aca="false">IFERROR(MIN(C27,D27)*E27/C27,0)</f>
        <v>4</v>
      </c>
      <c r="G27" s="10"/>
    </row>
    <row r="28" customFormat="false" ht="13.5" hidden="false" customHeight="true" outlineLevel="0" collapsed="false">
      <c r="A28" s="8" t="n">
        <v>13</v>
      </c>
      <c r="B28" s="9" t="s">
        <v>90</v>
      </c>
      <c r="C28" s="10" t="n">
        <v>1</v>
      </c>
      <c r="D28" s="10"/>
      <c r="E28" s="10" t="n">
        <v>4</v>
      </c>
      <c r="F28" s="10" t="n">
        <f aca="false">IFERROR(MIN(C28,D28)*E28/C28,0)</f>
        <v>4</v>
      </c>
      <c r="G28" s="10"/>
    </row>
    <row r="29" customFormat="false" ht="13.5" hidden="false" customHeight="true" outlineLevel="0" collapsed="false">
      <c r="A29" s="8" t="n">
        <v>14</v>
      </c>
      <c r="B29" s="9" t="s">
        <v>91</v>
      </c>
      <c r="C29" s="10" t="n">
        <v>10</v>
      </c>
      <c r="D29" s="10"/>
      <c r="E29" s="10" t="n">
        <v>6</v>
      </c>
      <c r="F29" s="10" t="n">
        <f aca="false">IFERROR(MIN(C29,D29)*E29/C29,0)</f>
        <v>6</v>
      </c>
      <c r="G29" s="10"/>
    </row>
    <row r="30" customFormat="false" ht="13.5" hidden="false" customHeight="true" outlineLevel="0" collapsed="false">
      <c r="A30" s="8" t="n">
        <v>15</v>
      </c>
      <c r="B30" s="9" t="s">
        <v>92</v>
      </c>
      <c r="C30" s="10" t="n">
        <v>2</v>
      </c>
      <c r="D30" s="10"/>
      <c r="E30" s="10" t="n">
        <v>5</v>
      </c>
      <c r="F30" s="10" t="n">
        <f aca="false">IFERROR(MIN(C30,D30)*E30/C30,0)</f>
        <v>5</v>
      </c>
      <c r="G30" s="10"/>
    </row>
    <row r="31" customFormat="false" ht="13.5" hidden="false" customHeight="true" outlineLevel="0" collapsed="false">
      <c r="A31" s="8" t="n">
        <v>16</v>
      </c>
      <c r="B31" s="9" t="s">
        <v>93</v>
      </c>
      <c r="C31" s="10" t="n">
        <v>2</v>
      </c>
      <c r="D31" s="10"/>
      <c r="E31" s="10" t="n">
        <v>4</v>
      </c>
      <c r="F31" s="10" t="n">
        <f aca="false">IFERROR(MIN(C31,D31)*E31/C31,0)</f>
        <v>4</v>
      </c>
      <c r="G31" s="10" t="s">
        <v>94</v>
      </c>
    </row>
    <row r="32" customFormat="false" ht="13.5" hidden="false" customHeight="true" outlineLevel="0" collapsed="false">
      <c r="A32" s="8" t="n">
        <v>17</v>
      </c>
      <c r="B32" s="9" t="s">
        <v>95</v>
      </c>
      <c r="C32" s="10" t="n">
        <v>2</v>
      </c>
      <c r="D32" s="10"/>
      <c r="E32" s="10" t="n">
        <v>3</v>
      </c>
      <c r="F32" s="10" t="n">
        <f aca="false">IFERROR(MIN(C32,D32)*E32/C32,0)</f>
        <v>3</v>
      </c>
      <c r="G32" s="10"/>
    </row>
    <row r="33" customFormat="false" ht="13.5" hidden="false" customHeight="true" outlineLevel="0" collapsed="false">
      <c r="A33" s="8" t="n">
        <v>18</v>
      </c>
      <c r="B33" s="9" t="s">
        <v>96</v>
      </c>
      <c r="C33" s="10" t="n">
        <v>1</v>
      </c>
      <c r="D33" s="10"/>
      <c r="E33" s="10" t="n">
        <v>4</v>
      </c>
      <c r="F33" s="10" t="n">
        <f aca="false">IFERROR(MIN(C33,D33)*E33/C33,0)</f>
        <v>4</v>
      </c>
      <c r="G33" s="10"/>
    </row>
    <row r="34" customFormat="false" ht="13.5" hidden="false" customHeight="true" outlineLevel="0" collapsed="false">
      <c r="A34" s="8" t="n">
        <v>19</v>
      </c>
      <c r="B34" s="9" t="s">
        <v>97</v>
      </c>
      <c r="C34" s="10" t="n">
        <v>2</v>
      </c>
      <c r="D34" s="10"/>
      <c r="E34" s="10" t="n">
        <v>3</v>
      </c>
      <c r="F34" s="10" t="n">
        <f aca="false">IFERROR(MIN(C34,D34)*E34/C34,0)</f>
        <v>3</v>
      </c>
      <c r="G34" s="10"/>
    </row>
    <row r="35" customFormat="false" ht="13.5" hidden="false" customHeight="true" outlineLevel="0" collapsed="false">
      <c r="A35" s="8" t="n">
        <v>20</v>
      </c>
      <c r="B35" s="9" t="s">
        <v>98</v>
      </c>
      <c r="C35" s="10" t="n">
        <v>2</v>
      </c>
      <c r="D35" s="10"/>
      <c r="E35" s="10" t="n">
        <v>3</v>
      </c>
      <c r="F35" s="10" t="n">
        <f aca="false">IFERROR(MIN(C35,D35)*E35/C35,0)</f>
        <v>3</v>
      </c>
      <c r="G35" s="10"/>
    </row>
    <row r="36" customFormat="false" ht="13.5" hidden="false" customHeight="true" outlineLevel="0" collapsed="false">
      <c r="A36" s="8" t="n">
        <v>21</v>
      </c>
      <c r="B36" s="9" t="s">
        <v>99</v>
      </c>
      <c r="C36" s="10" t="n">
        <v>5</v>
      </c>
      <c r="D36" s="10"/>
      <c r="E36" s="10" t="n">
        <v>3</v>
      </c>
      <c r="F36" s="10" t="n">
        <f aca="false">IFERROR(MIN(C36,D36)*E36/C36,0)</f>
        <v>3</v>
      </c>
      <c r="G36" s="10"/>
    </row>
    <row r="37" customFormat="false" ht="13.5" hidden="false" customHeight="true" outlineLevel="0" collapsed="false">
      <c r="A37" s="8" t="n">
        <v>22</v>
      </c>
      <c r="B37" s="9" t="s">
        <v>100</v>
      </c>
      <c r="C37" s="10" t="n">
        <v>2</v>
      </c>
      <c r="D37" s="10"/>
      <c r="E37" s="10" t="n">
        <v>4</v>
      </c>
      <c r="F37" s="10" t="n">
        <f aca="false">IFERROR(MIN(C37,D37)*E37/C37,0)</f>
        <v>4</v>
      </c>
      <c r="G37" s="10" t="s">
        <v>94</v>
      </c>
    </row>
    <row r="38" customFormat="false" ht="13.5" hidden="false" customHeight="true" outlineLevel="0" collapsed="false">
      <c r="A38" s="8" t="n">
        <v>23</v>
      </c>
      <c r="B38" s="9" t="s">
        <v>101</v>
      </c>
      <c r="C38" s="10" t="n">
        <v>2</v>
      </c>
      <c r="D38" s="10"/>
      <c r="E38" s="10" t="n">
        <v>5</v>
      </c>
      <c r="F38" s="10" t="n">
        <f aca="false">IFERROR(MIN(C38,D38)*E38/C38,0)</f>
        <v>5</v>
      </c>
      <c r="G38" s="10"/>
    </row>
    <row r="39" customFormat="false" ht="13.5" hidden="false" customHeight="true" outlineLevel="0" collapsed="false">
      <c r="A39" s="8" t="n">
        <v>24</v>
      </c>
      <c r="B39" s="9" t="s">
        <v>102</v>
      </c>
      <c r="C39" s="10" t="n">
        <v>2</v>
      </c>
      <c r="D39" s="10"/>
      <c r="E39" s="10" t="n">
        <v>4</v>
      </c>
      <c r="F39" s="10" t="n">
        <f aca="false">IFERROR(MIN(C39,D39)*E39/C39,0)</f>
        <v>4</v>
      </c>
      <c r="G39" s="10" t="s">
        <v>94</v>
      </c>
    </row>
    <row r="40" customFormat="false" ht="13.5" hidden="false" customHeight="true" outlineLevel="0" collapsed="false">
      <c r="A40" s="8" t="n">
        <v>25</v>
      </c>
      <c r="B40" s="9" t="s">
        <v>103</v>
      </c>
      <c r="C40" s="10" t="n">
        <v>1</v>
      </c>
      <c r="D40" s="10"/>
      <c r="E40" s="10" t="n">
        <v>6</v>
      </c>
      <c r="F40" s="10" t="n">
        <f aca="false">IFERROR(MIN(C40,D40)*E40/C40,0)</f>
        <v>6</v>
      </c>
      <c r="G40" s="10"/>
    </row>
    <row r="41" customFormat="false" ht="15" hidden="false" customHeight="false" outlineLevel="0" collapsed="false">
      <c r="A41" s="11" t="s">
        <v>29</v>
      </c>
      <c r="B41" s="11"/>
      <c r="C41" s="11"/>
      <c r="D41" s="11"/>
      <c r="E41" s="11" t="n">
        <f aca="false">SUM(E16:E40)</f>
        <v>127</v>
      </c>
      <c r="F41" s="11" t="n">
        <f aca="false">SUM(F16:F40)</f>
        <v>127</v>
      </c>
      <c r="G41" s="12"/>
    </row>
    <row r="42" customFormat="false" ht="15" hidden="false" customHeight="false" outlineLevel="0" collapsed="false">
      <c r="A42" s="11" t="s">
        <v>30</v>
      </c>
      <c r="B42" s="11"/>
      <c r="C42" s="11"/>
      <c r="D42" s="11"/>
      <c r="E42" s="11"/>
      <c r="F42" s="11" t="n">
        <f aca="false">F41/E41*100</f>
        <v>100</v>
      </c>
      <c r="G42" s="12"/>
    </row>
    <row r="43" customFormat="false" ht="9.75" hidden="false" customHeight="true" outlineLevel="0" collapsed="false">
      <c r="A43" s="13"/>
      <c r="B43" s="13"/>
      <c r="C43" s="13"/>
      <c r="D43" s="13"/>
      <c r="E43" s="13"/>
      <c r="F43" s="13"/>
      <c r="G43" s="13"/>
    </row>
    <row r="44" customFormat="false" ht="15" hidden="false" customHeight="false" outlineLevel="0" collapsed="false">
      <c r="A44" s="11" t="s">
        <v>31</v>
      </c>
      <c r="B44" s="11"/>
      <c r="C44" s="11"/>
      <c r="D44" s="11"/>
      <c r="E44" s="11"/>
      <c r="F44" s="11" t="n">
        <f aca="false">F42*30/100</f>
        <v>30</v>
      </c>
      <c r="G44" s="11" t="s">
        <v>32</v>
      </c>
    </row>
  </sheetData>
  <mergeCells count="8">
    <mergeCell ref="A1:G1"/>
    <mergeCell ref="C7:G7"/>
    <mergeCell ref="C8:G8"/>
    <mergeCell ref="A13:G13"/>
    <mergeCell ref="A41:D41"/>
    <mergeCell ref="A42:E42"/>
    <mergeCell ref="A43:G43"/>
    <mergeCell ref="A44:E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LibreOffice/26.2.5.2$Linux_X86_64 LibreOffice_project/30643f3b95f81f04449dc87ba649cc313a42270e</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2026-08-17T07:23:45Z</dcterms:created>
  <dc:creator>openpyxl</dc:creator>
  <dc:description/>
  <dc:language>en-US</dc:language>
  <cp:lastModifiedBy/>
  <dcterms:modified xsi:type="dcterms:W3CDTF">2026-08-17T13:31:17Z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
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3" autoFilterDateGrouping="1"/>
  </bookViews>
  <sheets>
    <sheet xmlns:r="http://schemas.openxmlformats.org/officeDocument/2006/relationships" name="Marine Engine Op &amp; Maint" sheetId="1" state="visible" r:id="rId1"/>
    <sheet xmlns:r="http://schemas.openxmlformats.org/officeDocument/2006/relationships" name="Welding 1G 2G 3G" sheetId="2" state="visible" r:id="rId2"/>
    <sheet xmlns:r="http://schemas.openxmlformats.org/officeDocument/2006/relationships" name="Electrical Instl &amp; Maint" sheetId="3" state="visible" r:id="rId3"/>
    <sheet xmlns:r="http://schemas.openxmlformats.org/officeDocument/2006/relationships" name="Boiler Op &amp; Maintenance"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0"/>
  <fonts count="8">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
      <name val="Arial"/>
      <sz val="11"/>
    </font>
  </fonts>
  <fills count="3">
    <fill>
      <patternFill/>
    </fill>
    <fill>
      <patternFill patternType="gray125"/>
    </fill>
    <fill>
      <patternFill patternType="solid">
        <fgColor rgb="FFD9D9D9"/>
        <bgColor rgb="FFC0C0C0"/>
      </patternFill>
    </fill>
  </fills>
  <borders count="7">
    <border>
      <left/>
      <right/>
      <top/>
      <bottom/>
      <diagonal/>
    </border>
    <border>
      <left style="thin"/>
      <right style="thin"/>
      <top style="thin"/>
      <bottom style="thin"/>
      <diagonal/>
    </border>
    <border>
      <left style="thin"/>
      <right/>
      <top style="thin"/>
      <bottom style="thin"/>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0" fillId="0" borderId="4" pivotButton="0" quotePrefix="0" xfId="0"/>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0" fillId="0" borderId="6" pivotButton="0" quotePrefix="0" xfId="0"/>
    <xf numFmtId="0" fontId="5" fillId="0" borderId="1" applyAlignment="1" pivotButton="0" quotePrefix="0" xfId="0">
      <alignment horizontal="general" vertical="bottom"/>
    </xf>
    <xf numFmtId="0" fontId="0" fillId="0" borderId="0" applyAlignment="1" pivotButton="0" quotePrefix="0" xfId="0">
      <alignment horizontal="general" vertical="bottom" wrapText="1"/>
    </xf>
    <xf numFmtId="0" fontId="7" fillId="0" borderId="0"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1"/>
  <sheetViews>
    <sheetView showFormulas="0" showGridLines="1" showRowColHeaders="1" showZeros="1" rightToLeft="0" tabSelected="0" showOutlineSymbols="1" defaultGridColor="1" view="normal" topLeftCell="A4" colorId="64" zoomScale="100" zoomScaleNormal="100" zoomScalePageLayoutView="100" workbookViewId="0">
      <selection pane="topLeft" activeCell="C8" activeCellId="0" sqref="C8"/>
    </sheetView>
  </sheetViews>
  <sheetFormatPr baseColWidth="8" defaultColWidth="8.6796875" defaultRowHeight="15" customHeight="0" zeroHeight="0" outlineLevelRow="0"/>
  <cols>
    <col width="15.17" customWidth="1" style="15" min="1" max="1"/>
    <col width="33.13" customWidth="1" style="15"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Marine Engine Operation and Maintenance</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Marine Engine Operation and Maintenance</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Marine Engine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Computer with internet connection</t>
        </is>
      </c>
      <c r="C16" s="27" t="n">
        <v>1</v>
      </c>
      <c r="D16" s="27" t="n">
        <v>0</v>
      </c>
      <c r="E16" s="27" t="n">
        <v>5</v>
      </c>
      <c r="F16" s="27">
        <f>IFERROR(MIN(C16,D16)*E16/C16,0)</f>
        <v/>
      </c>
      <c r="G16" s="27" t="n"/>
    </row>
    <row r="17" ht="13.5" customHeight="1" s="16">
      <c r="A17" s="25" t="n">
        <v>2</v>
      </c>
      <c r="B17" s="26" t="inlineStr">
        <is>
          <t>Projector and projector screen</t>
        </is>
      </c>
      <c r="C17" s="27" t="n">
        <v>1</v>
      </c>
      <c r="D17" s="27" t="n">
        <v>0</v>
      </c>
      <c r="E17" s="27" t="n">
        <v>5</v>
      </c>
      <c r="F17" s="27">
        <f>IFERROR(MIN(C17,D17)*E17/C17,0)</f>
        <v/>
      </c>
      <c r="G17" s="27" t="n"/>
    </row>
    <row r="18" ht="13.5" customHeight="1" s="16">
      <c r="A18" s="25" t="n">
        <v>3</v>
      </c>
      <c r="B18" s="26" t="inlineStr">
        <is>
          <t>Marine Diesel engine</t>
        </is>
      </c>
      <c r="C18" s="27" t="n">
        <v>3</v>
      </c>
      <c r="D18" s="27" t="n">
        <v>0</v>
      </c>
      <c r="E18" s="27" t="n">
        <v>10</v>
      </c>
      <c r="F18" s="27">
        <f>IFERROR(MIN(C18,D18)*E18/C18,0)</f>
        <v/>
      </c>
      <c r="G18" s="27" t="n"/>
    </row>
    <row r="19" ht="13.5" customHeight="1" s="16">
      <c r="A19" s="25" t="n">
        <v>4</v>
      </c>
      <c r="B19" s="26" t="inlineStr">
        <is>
          <t>Engine Cooler (Tube type)</t>
        </is>
      </c>
      <c r="C19" s="27" t="n">
        <v>1</v>
      </c>
      <c r="D19" s="27" t="n">
        <v>0</v>
      </c>
      <c r="E19" s="27" t="n">
        <v>6</v>
      </c>
      <c r="F19" s="27">
        <f>IFERROR(MIN(C19,D19)*E19/C19,0)</f>
        <v/>
      </c>
      <c r="G19" s="27" t="n"/>
    </row>
    <row r="20" ht="13.5" customHeight="1" s="16">
      <c r="A20" s="25" t="n">
        <v>5</v>
      </c>
      <c r="B20" s="26" t="inlineStr">
        <is>
          <t>Engine Cooler (Plate type)</t>
        </is>
      </c>
      <c r="C20" s="27" t="n">
        <v>1</v>
      </c>
      <c r="D20" s="27" t="n">
        <v>0</v>
      </c>
      <c r="E20" s="27" t="n">
        <v>6</v>
      </c>
      <c r="F20" s="27">
        <f>IFERROR(MIN(C20,D20)*E20/C20,0)</f>
        <v/>
      </c>
      <c r="G20" s="27" t="n"/>
    </row>
    <row r="21" ht="13.5" customHeight="1" s="16">
      <c r="A21" s="25" t="n">
        <v>6</v>
      </c>
      <c r="B21" s="26" t="inlineStr">
        <is>
          <t>Engine Crank shaft</t>
        </is>
      </c>
      <c r="C21" s="27" t="n">
        <v>1</v>
      </c>
      <c r="D21" s="27" t="n">
        <v>0</v>
      </c>
      <c r="E21" s="27" t="n">
        <v>7</v>
      </c>
      <c r="F21" s="27">
        <f>IFERROR(MIN(C21,D21)*E21/C21,0)</f>
        <v/>
      </c>
      <c r="G21" s="27" t="n"/>
    </row>
    <row r="22" ht="13.5" customHeight="1" s="16">
      <c r="A22" s="25" t="n">
        <v>7</v>
      </c>
      <c r="B22" s="26" t="inlineStr">
        <is>
          <t>Different engine component set</t>
        </is>
      </c>
      <c r="C22" s="27" t="n">
        <v>2</v>
      </c>
      <c r="D22" s="27" t="n">
        <v>0</v>
      </c>
      <c r="E22" s="27" t="n">
        <v>6</v>
      </c>
      <c r="F22" s="27">
        <f>IFERROR(MIN(C22,D22)*E22/C22,0)</f>
        <v/>
      </c>
      <c r="G22" s="27" t="n"/>
    </row>
    <row r="23" ht="13.5" customHeight="1" s="16">
      <c r="A23" s="25" t="n">
        <v>8</v>
      </c>
      <c r="B23" s="26" t="inlineStr">
        <is>
          <t>Centrifugal Pump</t>
        </is>
      </c>
      <c r="C23" s="27" t="n">
        <v>2</v>
      </c>
      <c r="D23" s="27" t="n">
        <v>0</v>
      </c>
      <c r="E23" s="27" t="n">
        <v>7</v>
      </c>
      <c r="F23" s="27">
        <f>IFERROR(MIN(C23,D23)*E23/C23,0)</f>
        <v/>
      </c>
      <c r="G23" s="27" t="n"/>
    </row>
    <row r="24" ht="13.5" customHeight="1" s="16">
      <c r="A24" s="25" t="n">
        <v>9</v>
      </c>
      <c r="B24" s="26" t="inlineStr">
        <is>
          <t>Positive displacement pump</t>
        </is>
      </c>
      <c r="C24" s="27" t="n">
        <v>2</v>
      </c>
      <c r="D24" s="27" t="n">
        <v>0</v>
      </c>
      <c r="E24" s="27" t="n">
        <v>7</v>
      </c>
      <c r="F24" s="27">
        <f>IFERROR(MIN(C24,D24)*E24/C24,0)</f>
        <v/>
      </c>
      <c r="G24" s="27" t="n"/>
    </row>
    <row r="25" ht="13.5" customHeight="1" s="16">
      <c r="A25" s="25" t="n">
        <v>10</v>
      </c>
      <c r="B25" s="26" t="inlineStr">
        <is>
          <t>Main bearing</t>
        </is>
      </c>
      <c r="C25" s="27" t="n">
        <v>1</v>
      </c>
      <c r="D25" s="27" t="n">
        <v>0</v>
      </c>
      <c r="E25" s="27" t="n">
        <v>4</v>
      </c>
      <c r="F25" s="27">
        <f>IFERROR(MIN(C25,D25)*E25/C25,0)</f>
        <v/>
      </c>
      <c r="G25" s="27" t="n"/>
    </row>
    <row r="26" ht="13.5" customHeight="1" s="16">
      <c r="A26" s="25" t="n">
        <v>11</v>
      </c>
      <c r="B26" s="26" t="inlineStr">
        <is>
          <t>Crank pin bearing</t>
        </is>
      </c>
      <c r="C26" s="27" t="n">
        <v>1</v>
      </c>
      <c r="D26" s="27" t="n">
        <v>0</v>
      </c>
      <c r="E26" s="27" t="n">
        <v>4</v>
      </c>
      <c r="F26" s="27">
        <f>IFERROR(MIN(C26,D26)*E26/C26,0)</f>
        <v/>
      </c>
      <c r="G26" s="27" t="n"/>
    </row>
    <row r="27" ht="13.5" customHeight="1" s="16">
      <c r="A27" s="25" t="n">
        <v>12</v>
      </c>
      <c r="B27" s="26" t="inlineStr">
        <is>
          <t>Battery (100 AH) with charger</t>
        </is>
      </c>
      <c r="C27" s="27" t="n">
        <v>1</v>
      </c>
      <c r="D27" s="27" t="n">
        <v>0</v>
      </c>
      <c r="E27" s="27" t="n">
        <v>5</v>
      </c>
      <c r="F27" s="27">
        <f>IFERROR(MIN(C27,D27)*E27/C27,0)</f>
        <v/>
      </c>
      <c r="G27" s="27" t="n"/>
    </row>
    <row r="28" ht="15" customHeight="1" s="16">
      <c r="A28" s="28" t="inlineStr">
        <is>
          <t>Sum</t>
        </is>
      </c>
      <c r="B28" s="21" t="n"/>
      <c r="C28" s="21" t="n"/>
      <c r="D28" s="29" t="n"/>
      <c r="E28" s="28">
        <f>SUM(E16:E27)</f>
        <v/>
      </c>
      <c r="F28" s="28">
        <f>SUM(F16:F27)</f>
        <v/>
      </c>
      <c r="G28" s="30" t="n"/>
    </row>
    <row r="29" ht="15" customHeight="1" s="16">
      <c r="A29" s="28" t="inlineStr">
        <is>
          <t>Score out of 100</t>
        </is>
      </c>
      <c r="B29" s="21" t="n"/>
      <c r="C29" s="21" t="n"/>
      <c r="D29" s="21" t="n"/>
      <c r="E29" s="29" t="n"/>
      <c r="F29" s="28">
        <f>F28/E28*100</f>
        <v/>
      </c>
      <c r="G29" s="30" t="n"/>
    </row>
    <row r="30" ht="9.75" customHeight="1" s="16">
      <c r="A30" s="15" t="n"/>
    </row>
    <row r="31" ht="15" customHeight="1" s="16">
      <c r="A31" s="28" t="inlineStr">
        <is>
          <t xml:space="preserve">Total achieved points out of 30  </t>
        </is>
      </c>
      <c r="B31" s="21" t="n"/>
      <c r="C31" s="21" t="n"/>
      <c r="D31" s="21" t="n"/>
      <c r="E31" s="29" t="n"/>
      <c r="F31" s="28">
        <f>F29*30/100</f>
        <v/>
      </c>
      <c r="G31" s="28" t="inlineStr">
        <is>
          <t>Points</t>
        </is>
      </c>
    </row>
  </sheetData>
  <mergeCells count="8">
    <mergeCell ref="A13:G13"/>
    <mergeCell ref="C8:G8"/>
    <mergeCell ref="C7:G7"/>
    <mergeCell ref="A29:E29"/>
    <mergeCell ref="A1:G1"/>
    <mergeCell ref="A30:G30"/>
    <mergeCell ref="A31:E31"/>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G3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8" activeCellId="0" sqref="C8"/>
    </sheetView>
  </sheetViews>
  <sheetFormatPr baseColWidth="8" defaultColWidth="8.6796875" defaultRowHeight="15" customHeight="0" zeroHeight="0" outlineLevelRow="0"/>
  <cols>
    <col width="15.17" customWidth="1" style="15" min="1" max="1"/>
    <col width="33.13" customWidth="1" style="15"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Welding and Fabrication (1G, 2G &amp; 3G)</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Welding and Fabrication (1G, 2G &amp; 3G)</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Welding and Fabrication (1G, 2G &amp; 3G),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Computers/ Laptop</t>
        </is>
      </c>
      <c r="C16" s="27" t="n">
        <v>1</v>
      </c>
      <c r="D16" s="27" t="n">
        <v>0</v>
      </c>
      <c r="E16" s="27" t="n">
        <v>5</v>
      </c>
      <c r="F16" s="27">
        <f>IFERROR(MIN(C16,D16)*E16/C16,0)</f>
        <v/>
      </c>
      <c r="G16" s="27" t="n"/>
    </row>
    <row r="17" ht="13.5" customHeight="1" s="16">
      <c r="A17" s="25" t="n">
        <v>2</v>
      </c>
      <c r="B17" s="26" t="inlineStr">
        <is>
          <t>Multimedia Projector</t>
        </is>
      </c>
      <c r="C17" s="27" t="n">
        <v>1</v>
      </c>
      <c r="D17" s="27" t="n">
        <v>0</v>
      </c>
      <c r="E17" s="27" t="n">
        <v>5</v>
      </c>
      <c r="F17" s="27">
        <f>IFERROR(MIN(C17,D17)*E17/C17,0)</f>
        <v/>
      </c>
      <c r="G17" s="27" t="n"/>
    </row>
    <row r="18" ht="13.5" customHeight="1" s="16">
      <c r="A18" s="25" t="n">
        <v>3</v>
      </c>
      <c r="B18" s="26" t="inlineStr">
        <is>
          <t>Internet connectivity</t>
        </is>
      </c>
      <c r="C18" s="27" t="n">
        <v>1</v>
      </c>
      <c r="D18" s="27" t="n">
        <v>0</v>
      </c>
      <c r="E18" s="27" t="n">
        <v>5</v>
      </c>
      <c r="F18" s="27">
        <f>IFERROR(MIN(C18,D18)*E18/C18,0)</f>
        <v/>
      </c>
      <c r="G18" s="27" t="n"/>
    </row>
    <row r="19" ht="13.5" customHeight="1" s="16">
      <c r="A19" s="25" t="n">
        <v>4</v>
      </c>
      <c r="B19" s="26" t="inlineStr">
        <is>
          <t>AC/DC Arc welding machine</t>
        </is>
      </c>
      <c r="C19" s="27" t="n">
        <v>10</v>
      </c>
      <c r="D19" s="27" t="n">
        <v>0</v>
      </c>
      <c r="E19" s="27" t="n">
        <v>9</v>
      </c>
      <c r="F19" s="27">
        <f>IFERROR(MIN(C19,D19)*E19/C19,0)</f>
        <v/>
      </c>
      <c r="G19" s="27" t="n"/>
    </row>
    <row r="20" ht="13.5" customHeight="1" s="16">
      <c r="A20" s="25" t="n">
        <v>5</v>
      </c>
      <c r="B20" s="26" t="inlineStr">
        <is>
          <t>Gas welding set</t>
        </is>
      </c>
      <c r="C20" s="27" t="n">
        <v>3</v>
      </c>
      <c r="D20" s="27" t="n">
        <v>0</v>
      </c>
      <c r="E20" s="27" t="n">
        <v>8</v>
      </c>
      <c r="F20" s="27">
        <f>IFERROR(MIN(C20,D20)*E20/C20,0)</f>
        <v/>
      </c>
      <c r="G20" s="27" t="n"/>
    </row>
    <row r="21" ht="13.5" customHeight="1" s="16">
      <c r="A21" s="25" t="n">
        <v>6</v>
      </c>
      <c r="B21" s="26" t="inlineStr">
        <is>
          <t>MIG welding machine</t>
        </is>
      </c>
      <c r="C21" s="27" t="n">
        <v>2</v>
      </c>
      <c r="D21" s="27" t="n">
        <v>0</v>
      </c>
      <c r="E21" s="27" t="n">
        <v>9</v>
      </c>
      <c r="F21" s="27">
        <f>IFERROR(MIN(C21,D21)*E21/C21,0)</f>
        <v/>
      </c>
      <c r="G21" s="27" t="n"/>
    </row>
    <row r="22" ht="13.5" customHeight="1" s="16">
      <c r="A22" s="25" t="n">
        <v>7</v>
      </c>
      <c r="B22" s="26" t="inlineStr">
        <is>
          <t>TIG welding machine</t>
        </is>
      </c>
      <c r="C22" s="27" t="n">
        <v>2</v>
      </c>
      <c r="D22" s="27" t="n">
        <v>0</v>
      </c>
      <c r="E22" s="27" t="n">
        <v>9</v>
      </c>
      <c r="F22" s="27">
        <f>IFERROR(MIN(C22,D22)*E22/C22,0)</f>
        <v/>
      </c>
      <c r="G22" s="27" t="n"/>
    </row>
    <row r="23" ht="13.5" customHeight="1" s="16">
      <c r="A23" s="25" t="n">
        <v>8</v>
      </c>
      <c r="B23" s="26" t="inlineStr">
        <is>
          <t>Gas cutting set</t>
        </is>
      </c>
      <c r="C23" s="27" t="n">
        <v>2</v>
      </c>
      <c r="D23" s="27" t="n">
        <v>0</v>
      </c>
      <c r="E23" s="27" t="n">
        <v>8</v>
      </c>
      <c r="F23" s="27">
        <f>IFERROR(MIN(C23,D23)*E23/C23,0)</f>
        <v/>
      </c>
      <c r="G23" s="27" t="n"/>
    </row>
    <row r="24" ht="13.5" customHeight="1" s="16">
      <c r="A24" s="25" t="n">
        <v>9</v>
      </c>
      <c r="B24" s="26" t="inlineStr">
        <is>
          <t>Spare cylinder set (Argon, oxygen and acetylene)</t>
        </is>
      </c>
      <c r="C24" s="27" t="n">
        <v>1</v>
      </c>
      <c r="D24" s="27" t="n">
        <v>0</v>
      </c>
      <c r="E24" s="27" t="n">
        <v>6</v>
      </c>
      <c r="F24" s="27">
        <f>IFERROR(MIN(C24,D24)*E24/C24,0)</f>
        <v/>
      </c>
      <c r="G24" s="27" t="n"/>
    </row>
    <row r="25" ht="13.5" customHeight="1" s="16">
      <c r="A25" s="25" t="n">
        <v>10</v>
      </c>
      <c r="B25" s="26" t="inlineStr">
        <is>
          <t>Power grinding machine</t>
        </is>
      </c>
      <c r="C25" s="27" t="n">
        <v>1</v>
      </c>
      <c r="D25" s="27" t="n">
        <v>0</v>
      </c>
      <c r="E25" s="27" t="n">
        <v>6</v>
      </c>
      <c r="F25" s="27">
        <f>IFERROR(MIN(C25,D25)*E25/C25,0)</f>
        <v/>
      </c>
      <c r="G25" s="27" t="n"/>
    </row>
    <row r="26" ht="13.5" customHeight="1" s="16">
      <c r="A26" s="25" t="n">
        <v>11</v>
      </c>
      <c r="B26" s="26" t="inlineStr">
        <is>
          <t>Hand grinding machine</t>
        </is>
      </c>
      <c r="C26" s="27" t="n">
        <v>4</v>
      </c>
      <c r="D26" s="27" t="n">
        <v>0</v>
      </c>
      <c r="E26" s="27" t="n">
        <v>6</v>
      </c>
      <c r="F26" s="27">
        <f>IFERROR(MIN(C26,D26)*E26/C26,0)</f>
        <v/>
      </c>
      <c r="G26" s="27" t="n"/>
    </row>
    <row r="27" ht="13.5" customHeight="1" s="16">
      <c r="A27" s="25" t="n">
        <v>12</v>
      </c>
      <c r="B27" s="26" t="inlineStr">
        <is>
          <t>Bench vice</t>
        </is>
      </c>
      <c r="C27" s="27" t="n">
        <v>10</v>
      </c>
      <c r="D27" s="27" t="n">
        <v>0</v>
      </c>
      <c r="E27" s="27" t="n">
        <v>5</v>
      </c>
      <c r="F27" s="27">
        <f>IFERROR(MIN(C27,D27)*E27/C27,0)</f>
        <v/>
      </c>
      <c r="G27" s="27" t="n"/>
    </row>
    <row r="28" ht="13.5" customHeight="1" s="16">
      <c r="A28" s="25" t="n">
        <v>13</v>
      </c>
      <c r="B28" s="26" t="inlineStr">
        <is>
          <t>Tool box set for welding workshop</t>
        </is>
      </c>
      <c r="C28" s="27" t="n">
        <v>10</v>
      </c>
      <c r="D28" s="27" t="n">
        <v>0</v>
      </c>
      <c r="E28" s="27" t="n">
        <v>5</v>
      </c>
      <c r="F28" s="27">
        <f>IFERROR(MIN(C28,D28)*E28/C28,0)</f>
        <v/>
      </c>
      <c r="G28" s="27" t="n"/>
    </row>
    <row r="29" ht="13.5" customHeight="1" s="16">
      <c r="A29" s="25" t="n">
        <v>14</v>
      </c>
      <c r="B29" s="26" t="inlineStr">
        <is>
          <t>Fire extinguisher</t>
        </is>
      </c>
      <c r="C29" s="27" t="n">
        <v>4</v>
      </c>
      <c r="D29" s="27" t="n">
        <v>0</v>
      </c>
      <c r="E29" s="27" t="n">
        <v>4</v>
      </c>
      <c r="F29" s="27">
        <f>IFERROR(MIN(C29,D29)*E29/C29,0)</f>
        <v/>
      </c>
      <c r="G29" s="27" t="n"/>
    </row>
    <row r="30" ht="13.5" customHeight="1" s="16">
      <c r="A30" s="25" t="n">
        <v>15</v>
      </c>
      <c r="B30" s="26" t="inlineStr">
        <is>
          <t>Welding booth with exhaust system</t>
        </is>
      </c>
      <c r="C30" s="27" t="n">
        <v>10</v>
      </c>
      <c r="D30" s="27" t="n">
        <v>0</v>
      </c>
      <c r="E30" s="27" t="n">
        <v>7</v>
      </c>
      <c r="F30" s="27">
        <f>IFERROR(MIN(C30,D30)*E30/C30,0)</f>
        <v/>
      </c>
      <c r="G30" s="27" t="n"/>
    </row>
    <row r="31" ht="13.5" customHeight="1" s="16">
      <c r="A31" s="25" t="n">
        <v>16</v>
      </c>
      <c r="B31" s="26" t="inlineStr">
        <is>
          <t>First aid box</t>
        </is>
      </c>
      <c r="C31" s="27" t="n">
        <v>3</v>
      </c>
      <c r="D31" s="27" t="n">
        <v>0</v>
      </c>
      <c r="E31" s="27" t="n">
        <v>3</v>
      </c>
      <c r="F31" s="27">
        <f>IFERROR(MIN(C31,D31)*E31/C31,0)</f>
        <v/>
      </c>
      <c r="G31" s="27" t="n"/>
    </row>
    <row r="32" ht="15" customHeight="1" s="16">
      <c r="A32" s="28" t="inlineStr">
        <is>
          <t>Sum</t>
        </is>
      </c>
      <c r="B32" s="21" t="n"/>
      <c r="C32" s="21" t="n"/>
      <c r="D32" s="29" t="n"/>
      <c r="E32" s="28">
        <f>SUM(E16:E31)</f>
        <v/>
      </c>
      <c r="F32" s="28">
        <f>SUM(F16:F31)</f>
        <v/>
      </c>
      <c r="G32" s="30" t="n"/>
    </row>
    <row r="33" ht="15" customHeight="1" s="16">
      <c r="A33" s="28" t="inlineStr">
        <is>
          <t>Score out of 100</t>
        </is>
      </c>
      <c r="B33" s="21" t="n"/>
      <c r="C33" s="21" t="n"/>
      <c r="D33" s="21" t="n"/>
      <c r="E33" s="29" t="n"/>
      <c r="F33" s="28">
        <f>F32/E32*100</f>
        <v/>
      </c>
      <c r="G33" s="30" t="n"/>
    </row>
    <row r="34" ht="9.75" customHeight="1" s="16">
      <c r="A34" s="15" t="n"/>
    </row>
    <row r="35" ht="15" customHeight="1" s="16">
      <c r="A35" s="28" t="inlineStr">
        <is>
          <t xml:space="preserve">Total achieved points out of 30  </t>
        </is>
      </c>
      <c r="B35" s="21" t="n"/>
      <c r="C35" s="21" t="n"/>
      <c r="D35" s="21" t="n"/>
      <c r="E35" s="29" t="n"/>
      <c r="F35" s="28">
        <f>F33*30/100</f>
        <v/>
      </c>
      <c r="G35" s="28" t="inlineStr">
        <is>
          <t>Points</t>
        </is>
      </c>
    </row>
    <row r="36" ht="14.15" customHeight="1" s="16">
      <c r="A36" s="32" t="inlineStr">
        <is>
          <t>* For this course, the institute should have at least 8 welding booths. Otherwise, the total points achieved will be halved.</t>
        </is>
      </c>
    </row>
  </sheetData>
  <mergeCells count="9">
    <mergeCell ref="A13:G13"/>
    <mergeCell ref="A36:G36"/>
    <mergeCell ref="C7:G7"/>
    <mergeCell ref="A35:E35"/>
    <mergeCell ref="A1:G1"/>
    <mergeCell ref="A34:G34"/>
    <mergeCell ref="A33:E33"/>
    <mergeCell ref="C8:G8"/>
    <mergeCell ref="A32:D3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G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M13" activeCellId="0" sqref="M13"/>
    </sheetView>
  </sheetViews>
  <sheetFormatPr baseColWidth="8" defaultColWidth="8.6796875" defaultRowHeight="15" customHeight="0" zeroHeight="0" outlineLevelRow="0"/>
  <cols>
    <col width="15.17" customWidth="1" style="15" min="1" max="1"/>
    <col width="38.4" customWidth="1" style="31"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Electrical Installation and Maintenance (Shipbuilding)</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Electrical Installation and Maintenance (Shipbuilding)</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Electrical Installation and Maintenance (Shipbuilding),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Wiring Boards/Trainer Board</t>
        </is>
      </c>
      <c r="C16" s="27" t="n">
        <v>12</v>
      </c>
      <c r="D16" s="27" t="n">
        <v>0</v>
      </c>
      <c r="E16" s="27" t="n">
        <v>8</v>
      </c>
      <c r="F16" s="27">
        <f>IFERROR(MIN(C16,D16)*E16/C16,0)</f>
        <v/>
      </c>
      <c r="G16" s="27" t="n"/>
    </row>
    <row r="17" ht="13.5" customHeight="1" s="16">
      <c r="A17" s="25" t="n">
        <v>2</v>
      </c>
      <c r="B17" s="26" t="inlineStr">
        <is>
          <t>Navigation lights</t>
        </is>
      </c>
      <c r="C17" s="27" t="n">
        <v>5</v>
      </c>
      <c r="D17" s="27" t="n">
        <v>0</v>
      </c>
      <c r="E17" s="27" t="n">
        <v>6</v>
      </c>
      <c r="F17" s="27">
        <f>IFERROR(MIN(C17,D17)*E17/C17,0)</f>
        <v/>
      </c>
      <c r="G17" s="27" t="n"/>
    </row>
    <row r="18" ht="13.5" customHeight="1" s="16">
      <c r="A18" s="25" t="n">
        <v>3</v>
      </c>
      <c r="B18" s="26" t="inlineStr">
        <is>
          <t>Echo sounder</t>
        </is>
      </c>
      <c r="C18" s="27" t="n">
        <v>5</v>
      </c>
      <c r="D18" s="27" t="n">
        <v>0</v>
      </c>
      <c r="E18" s="27" t="n">
        <v>6</v>
      </c>
      <c r="F18" s="27">
        <f>IFERROR(MIN(C18,D18)*E18/C18,0)</f>
        <v/>
      </c>
      <c r="G18" s="27" t="n"/>
    </row>
    <row r="19" ht="13.5" customHeight="1" s="16">
      <c r="A19" s="25" t="n">
        <v>4</v>
      </c>
      <c r="B19" s="26" t="inlineStr">
        <is>
          <t>Magnetic compass</t>
        </is>
      </c>
      <c r="C19" s="27" t="n">
        <v>5</v>
      </c>
      <c r="D19" s="27" t="n">
        <v>0</v>
      </c>
      <c r="E19" s="27" t="n">
        <v>6</v>
      </c>
      <c r="F19" s="27">
        <f>IFERROR(MIN(C19,D19)*E19/C19,0)</f>
        <v/>
      </c>
      <c r="G19" s="27" t="n"/>
    </row>
    <row r="20" ht="13.5" customHeight="1" s="16">
      <c r="A20" s="25" t="n">
        <v>5</v>
      </c>
      <c r="B20" s="26" t="inlineStr">
        <is>
          <t>GPS recorder</t>
        </is>
      </c>
      <c r="C20" s="27" t="n"/>
      <c r="D20" s="27" t="n">
        <v>0</v>
      </c>
      <c r="E20" s="27" t="n">
        <v>6</v>
      </c>
      <c r="F20" s="27">
        <f>IFERROR(MIN(C20,D20)*E20/C20,0)</f>
        <v/>
      </c>
      <c r="G20" s="27" t="n"/>
    </row>
    <row r="21" ht="26.85" customHeight="1" s="16">
      <c r="A21" s="25" t="n">
        <v>6</v>
      </c>
      <c r="B21" s="26" t="inlineStr">
        <is>
          <t>Main Distribution Board with busbar, CB and other accessories (Training model)</t>
        </is>
      </c>
      <c r="C21" s="27" t="n">
        <v>5</v>
      </c>
      <c r="D21" s="27" t="n">
        <v>0</v>
      </c>
      <c r="E21" s="27" t="n">
        <v>8</v>
      </c>
      <c r="F21" s="27">
        <f>IFERROR(MIN(C21,D21)*E21/C21,0)</f>
        <v/>
      </c>
      <c r="G21" s="27" t="n"/>
    </row>
    <row r="22" ht="26.85" customHeight="1" s="16">
      <c r="A22" s="25" t="n">
        <v>7</v>
      </c>
      <c r="B22" s="26" t="inlineStr">
        <is>
          <t>Sub Distribution Board with busbar, CB and other accessories (Training model)</t>
        </is>
      </c>
      <c r="C22" s="27" t="n">
        <v>5</v>
      </c>
      <c r="D22" s="27" t="n">
        <v>0</v>
      </c>
      <c r="E22" s="27" t="n">
        <v>8</v>
      </c>
      <c r="F22" s="27">
        <f>IFERROR(MIN(C22,D22)*E22/C22,0)</f>
        <v/>
      </c>
      <c r="G22" s="27" t="n"/>
    </row>
    <row r="23" ht="13.5" customHeight="1" s="16">
      <c r="A23" s="25" t="n">
        <v>8</v>
      </c>
      <c r="B23" s="26" t="inlineStr">
        <is>
          <t>Electric drill machine</t>
        </is>
      </c>
      <c r="C23" s="27" t="n">
        <v>5</v>
      </c>
      <c r="D23" s="27" t="n">
        <v>0</v>
      </c>
      <c r="E23" s="27" t="n">
        <v>5</v>
      </c>
      <c r="F23" s="27">
        <f>IFERROR(MIN(C23,D23)*E23/C23,0)</f>
        <v/>
      </c>
      <c r="G23" s="27" t="n"/>
    </row>
    <row r="24" ht="13.5" customHeight="1" s="16">
      <c r="A24" s="25" t="n">
        <v>9</v>
      </c>
      <c r="B24" s="26" t="inlineStr">
        <is>
          <t>Electric grinding machine</t>
        </is>
      </c>
      <c r="C24" s="27" t="n">
        <v>5</v>
      </c>
      <c r="D24" s="27" t="n">
        <v>0</v>
      </c>
      <c r="E24" s="27" t="n">
        <v>5</v>
      </c>
      <c r="F24" s="27">
        <f>IFERROR(MIN(C24,D24)*E24/C24,0)</f>
        <v/>
      </c>
      <c r="G24" s="27" t="n"/>
    </row>
    <row r="25" ht="13.5" customHeight="1" s="16">
      <c r="A25" s="25" t="n">
        <v>10</v>
      </c>
      <c r="B25" s="26" t="inlineStr">
        <is>
          <t>Energy Meter (1 Phase)</t>
        </is>
      </c>
      <c r="C25" s="27" t="n">
        <v>5</v>
      </c>
      <c r="D25" s="27" t="n">
        <v>0</v>
      </c>
      <c r="E25" s="27" t="n">
        <v>6</v>
      </c>
      <c r="F25" s="27">
        <f>IFERROR(MIN(C25,D25)*E25/C25,0)</f>
        <v/>
      </c>
      <c r="G25" s="27" t="n"/>
    </row>
    <row r="26" ht="13.5" customHeight="1" s="16">
      <c r="A26" s="25" t="n">
        <v>11</v>
      </c>
      <c r="B26" s="26" t="inlineStr">
        <is>
          <t>Energy Meter (3 Phase)</t>
        </is>
      </c>
      <c r="C26" s="27" t="n">
        <v>5</v>
      </c>
      <c r="D26" s="27" t="n">
        <v>0</v>
      </c>
      <c r="E26" s="27" t="n">
        <v>6</v>
      </c>
      <c r="F26" s="27">
        <f>IFERROR(MIN(C26,D26)*E26/C26,0)</f>
        <v/>
      </c>
      <c r="G26" s="27" t="n"/>
    </row>
    <row r="27" ht="13.5" customHeight="1" s="16">
      <c r="A27" s="25" t="n">
        <v>12</v>
      </c>
      <c r="B27" s="26" t="inlineStr">
        <is>
          <t>Earth tester</t>
        </is>
      </c>
      <c r="C27" s="27" t="n">
        <v>2</v>
      </c>
      <c r="D27" s="27" t="n">
        <v>0</v>
      </c>
      <c r="E27" s="27" t="n">
        <v>6</v>
      </c>
      <c r="F27" s="27">
        <f>IFERROR(MIN(C27,D27)*E27/C27,0)</f>
        <v/>
      </c>
      <c r="G27" s="27" t="n"/>
    </row>
    <row r="28" ht="13.5" customHeight="1" s="16">
      <c r="A28" s="25" t="n">
        <v>13</v>
      </c>
      <c r="B28" s="26" t="inlineStr">
        <is>
          <t>Megger</t>
        </is>
      </c>
      <c r="C28" s="27" t="n">
        <v>2</v>
      </c>
      <c r="D28" s="27" t="n">
        <v>0</v>
      </c>
      <c r="E28" s="27" t="n">
        <v>6</v>
      </c>
      <c r="F28" s="27">
        <f>IFERROR(MIN(C28,D28)*E28/C28,0)</f>
        <v/>
      </c>
      <c r="G28" s="27" t="n"/>
    </row>
    <row r="29" ht="13.5" customHeight="1" s="16">
      <c r="A29" s="25" t="n">
        <v>14</v>
      </c>
      <c r="B29" s="26" t="inlineStr">
        <is>
          <t>Phase sequence meter</t>
        </is>
      </c>
      <c r="C29" s="27" t="n">
        <v>1</v>
      </c>
      <c r="D29" s="27" t="n">
        <v>0</v>
      </c>
      <c r="E29" s="27" t="n">
        <v>4</v>
      </c>
      <c r="F29" s="27">
        <f>IFERROR(MIN(C29,D29)*E29/C29,0)</f>
        <v/>
      </c>
      <c r="G29" s="27" t="n"/>
    </row>
    <row r="30" ht="13.5" customHeight="1" s="16">
      <c r="A30" s="25" t="n">
        <v>15</v>
      </c>
      <c r="B30" s="26" t="inlineStr">
        <is>
          <t>Three phase motor (5-10HP)</t>
        </is>
      </c>
      <c r="C30" s="27" t="n">
        <v>8</v>
      </c>
      <c r="D30" s="27" t="n">
        <v>0</v>
      </c>
      <c r="E30" s="27" t="n">
        <v>9</v>
      </c>
      <c r="F30" s="27">
        <f>IFERROR(MIN(C30,D30)*E30/C30,0)</f>
        <v/>
      </c>
      <c r="G30" s="27" t="n"/>
    </row>
    <row r="31" ht="13.5" customHeight="1" s="16">
      <c r="A31" s="25" t="n">
        <v>16</v>
      </c>
      <c r="B31" s="26" t="inlineStr">
        <is>
          <t>Single Phase Motor</t>
        </is>
      </c>
      <c r="C31" s="27" t="n">
        <v>5</v>
      </c>
      <c r="D31" s="27" t="n">
        <v>0</v>
      </c>
      <c r="E31" s="27" t="n">
        <v>8</v>
      </c>
      <c r="F31" s="27">
        <f>IFERROR(MIN(C31,D31)*E31/C31,0)</f>
        <v/>
      </c>
      <c r="G31" s="27" t="n"/>
    </row>
    <row r="32" ht="13.5" customHeight="1" s="16">
      <c r="A32" s="25" t="n">
        <v>17</v>
      </c>
      <c r="B32" s="26" t="inlineStr">
        <is>
          <t>Burnt/Defective motor</t>
        </is>
      </c>
      <c r="C32" s="27" t="n">
        <v>4</v>
      </c>
      <c r="D32" s="27" t="n">
        <v>0</v>
      </c>
      <c r="E32" s="27" t="n">
        <v>4</v>
      </c>
      <c r="F32" s="27">
        <f>IFERROR(MIN(C32,D32)*E32/C32,0)</f>
        <v/>
      </c>
      <c r="G32" s="27" t="n"/>
    </row>
    <row r="33" ht="13.5" customHeight="1" s="16">
      <c r="A33" s="25" t="n">
        <v>18</v>
      </c>
      <c r="B33" s="26" t="inlineStr">
        <is>
          <t>ATS</t>
        </is>
      </c>
      <c r="C33" s="27" t="n">
        <v>5</v>
      </c>
      <c r="D33" s="27" t="n">
        <v>0</v>
      </c>
      <c r="E33" s="27" t="n">
        <v>7</v>
      </c>
      <c r="F33" s="27">
        <f>IFERROR(MIN(C33,D33)*E33/C33,0)</f>
        <v/>
      </c>
      <c r="G33" s="27" t="n"/>
    </row>
    <row r="34" ht="13.5" customHeight="1" s="16">
      <c r="A34" s="25" t="n">
        <v>19</v>
      </c>
      <c r="B34" s="26" t="inlineStr">
        <is>
          <t>DOL Starter</t>
        </is>
      </c>
      <c r="C34" s="27" t="n">
        <v>5</v>
      </c>
      <c r="D34" s="27" t="n">
        <v>0</v>
      </c>
      <c r="E34" s="27" t="n">
        <v>7</v>
      </c>
      <c r="F34" s="27">
        <f>IFERROR(MIN(C34,D34)*E34/C34,0)</f>
        <v/>
      </c>
      <c r="G34" s="27" t="n"/>
    </row>
    <row r="35" ht="26.85" customHeight="1" s="16">
      <c r="A35" s="25" t="n">
        <v>20</v>
      </c>
      <c r="B35" s="26" t="inlineStr">
        <is>
          <t>Star-Delta Starter with controlling arrangement</t>
        </is>
      </c>
      <c r="C35" s="27" t="n">
        <v>5</v>
      </c>
      <c r="D35" s="27" t="n">
        <v>0</v>
      </c>
      <c r="E35" s="27" t="n">
        <v>7</v>
      </c>
      <c r="F35" s="27">
        <f>IFERROR(MIN(C35,D35)*E35/C35,0)</f>
        <v/>
      </c>
      <c r="G35" s="27" t="n"/>
    </row>
    <row r="36" ht="13.5" customHeight="1" s="16">
      <c r="A36" s="25" t="n">
        <v>21</v>
      </c>
      <c r="B36" s="26" t="inlineStr">
        <is>
          <t>Generator (15-25KW)</t>
        </is>
      </c>
      <c r="C36" s="27" t="n">
        <v>1</v>
      </c>
      <c r="D36" s="27" t="n">
        <v>0</v>
      </c>
      <c r="E36" s="27" t="n">
        <v>9</v>
      </c>
      <c r="F36" s="27">
        <f>IFERROR(MIN(C36,D36)*E36/C36,0)</f>
        <v/>
      </c>
      <c r="G36" s="27" t="n"/>
    </row>
    <row r="37" ht="13.5" customHeight="1" s="16">
      <c r="A37" s="25" t="n">
        <v>22</v>
      </c>
      <c r="B37" s="26" t="inlineStr">
        <is>
          <t>Lead Acid Battery (12 V, 100 AH)</t>
        </is>
      </c>
      <c r="C37" s="27" t="n">
        <v>2</v>
      </c>
      <c r="D37" s="27" t="n">
        <v>0</v>
      </c>
      <c r="E37" s="27" t="n">
        <v>6</v>
      </c>
      <c r="F37" s="27">
        <f>IFERROR(MIN(C37,D37)*E37/C37,0)</f>
        <v/>
      </c>
      <c r="G37" s="27" t="n"/>
    </row>
    <row r="38" ht="26.85" customHeight="1" s="16">
      <c r="A38" s="25" t="n">
        <v>23</v>
      </c>
      <c r="B38" s="26" t="inlineStr">
        <is>
          <t>Forward-Reverse circuit arrangement for motor control</t>
        </is>
      </c>
      <c r="C38" s="27" t="n">
        <v>5</v>
      </c>
      <c r="D38" s="27" t="n">
        <v>0</v>
      </c>
      <c r="E38" s="27" t="n">
        <v>6</v>
      </c>
      <c r="F38" s="27">
        <f>IFERROR(MIN(C38,D38)*E38/C38,0)</f>
        <v/>
      </c>
      <c r="G38" s="27" t="n"/>
    </row>
    <row r="39" ht="13.5" customHeight="1" s="16">
      <c r="A39" s="25" t="n">
        <v>24</v>
      </c>
      <c r="B39" s="26" t="inlineStr">
        <is>
          <t>Wiring Boards/Trainer Board</t>
        </is>
      </c>
      <c r="C39" s="27" t="n">
        <v>12</v>
      </c>
      <c r="D39" s="27" t="n">
        <v>0</v>
      </c>
      <c r="E39" s="27" t="n">
        <v>8</v>
      </c>
      <c r="F39" s="27">
        <f>IFERROR(MIN(C39,D39)*E39/C39,0)</f>
        <v/>
      </c>
      <c r="G39" s="27" t="n"/>
    </row>
    <row r="40" ht="15" customHeight="1" s="16">
      <c r="A40" s="28" t="inlineStr">
        <is>
          <t>Sum</t>
        </is>
      </c>
      <c r="B40" s="21" t="n"/>
      <c r="C40" s="21" t="n"/>
      <c r="D40" s="29" t="n"/>
      <c r="E40" s="28">
        <f>SUM(E16:E39)</f>
        <v/>
      </c>
      <c r="F40" s="28">
        <f>SUM(F16:F39)</f>
        <v/>
      </c>
      <c r="G40" s="30" t="n"/>
    </row>
    <row r="41" ht="15" customHeight="1" s="16">
      <c r="A41" s="28" t="inlineStr">
        <is>
          <t>Score out of 100</t>
        </is>
      </c>
      <c r="B41" s="21" t="n"/>
      <c r="C41" s="21" t="n"/>
      <c r="D41" s="21" t="n"/>
      <c r="E41" s="29" t="n"/>
      <c r="F41" s="28">
        <f>F40/E40*100</f>
        <v/>
      </c>
      <c r="G41" s="30" t="n"/>
    </row>
    <row r="42" ht="9.75" customHeight="1" s="16">
      <c r="A42" s="15" t="n"/>
    </row>
    <row r="43" ht="15" customHeight="1" s="16">
      <c r="A43" s="28" t="inlineStr">
        <is>
          <t xml:space="preserve">Total achieved points out of 30  </t>
        </is>
      </c>
      <c r="B43" s="21" t="n"/>
      <c r="C43" s="21" t="n"/>
      <c r="D43" s="21" t="n"/>
      <c r="E43" s="29" t="n"/>
      <c r="F43" s="28">
        <f>F41*30/100</f>
        <v/>
      </c>
      <c r="G43" s="28" t="inlineStr">
        <is>
          <t>Points</t>
        </is>
      </c>
    </row>
  </sheetData>
  <mergeCells count="8">
    <mergeCell ref="A13:G13"/>
    <mergeCell ref="A40:D40"/>
    <mergeCell ref="C7:G7"/>
    <mergeCell ref="A1:G1"/>
    <mergeCell ref="A43:E43"/>
    <mergeCell ref="A41:E41"/>
    <mergeCell ref="C8:G8"/>
    <mergeCell ref="A42:G4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G44"/>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O15" activeCellId="0" sqref="O15"/>
    </sheetView>
  </sheetViews>
  <sheetFormatPr baseColWidth="8" defaultColWidth="8.6796875" defaultRowHeight="15" customHeight="0" zeroHeight="0" outlineLevelRow="0"/>
  <cols>
    <col width="15.17" customWidth="1" style="15" min="1" max="1"/>
    <col width="33.13" customWidth="1" style="15"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Boiler Operation and Maintenance</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Boiler Operation and Maintenance</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Boiler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Fire Tube Boiler (500 Kg per hour)</t>
        </is>
      </c>
      <c r="C16" s="27" t="n">
        <v>1</v>
      </c>
      <c r="D16" s="27" t="n">
        <v>0</v>
      </c>
      <c r="E16" s="27" t="n">
        <v>10</v>
      </c>
      <c r="F16" s="27">
        <f>IFERROR(MIN(C16,D16)*E16/C16,0)</f>
        <v/>
      </c>
      <c r="G16" s="27" t="n"/>
    </row>
    <row r="17" ht="13.5" customHeight="1" s="16">
      <c r="A17" s="25" t="n">
        <v>2</v>
      </c>
      <c r="B17" s="26" t="inlineStr">
        <is>
          <t>Fuel tank (2 ton)</t>
        </is>
      </c>
      <c r="C17" s="27" t="n">
        <v>1</v>
      </c>
      <c r="D17" s="27" t="n">
        <v>0</v>
      </c>
      <c r="E17" s="27" t="n">
        <v>8</v>
      </c>
      <c r="F17" s="27">
        <f>IFERROR(MIN(C17,D17)*E17/C17,0)</f>
        <v/>
      </c>
      <c r="G17" s="27" t="n"/>
    </row>
    <row r="18" ht="13.5" customHeight="1" s="16">
      <c r="A18" s="25" t="n">
        <v>3</v>
      </c>
      <c r="B18" s="26" t="inlineStr">
        <is>
          <t>Fuel pump with accessories</t>
        </is>
      </c>
      <c r="C18" s="27" t="n">
        <v>1</v>
      </c>
      <c r="D18" s="27" t="n">
        <v>0</v>
      </c>
      <c r="E18" s="27" t="n">
        <v>7</v>
      </c>
      <c r="F18" s="27">
        <f>IFERROR(MIN(C18,D18)*E18/C18,0)</f>
        <v/>
      </c>
      <c r="G18" s="27" t="n"/>
    </row>
    <row r="19" ht="13.5" customHeight="1" s="16">
      <c r="A19" s="25" t="n">
        <v>4</v>
      </c>
      <c r="B19" s="26" t="inlineStr">
        <is>
          <t>Feed water tank (2 ton)</t>
        </is>
      </c>
      <c r="C19" s="27" t="n">
        <v>1</v>
      </c>
      <c r="D19" s="27" t="n">
        <v>0</v>
      </c>
      <c r="E19" s="27" t="n">
        <v>8</v>
      </c>
      <c r="F19" s="27">
        <f>IFERROR(MIN(C19,D19)*E19/C19,0)</f>
        <v/>
      </c>
      <c r="G19" s="27" t="n"/>
    </row>
    <row r="20" ht="13.5" customHeight="1" s="16">
      <c r="A20" s="25" t="n">
        <v>5</v>
      </c>
      <c r="B20" s="26" t="inlineStr">
        <is>
          <t>Feed water pump with accessories</t>
        </is>
      </c>
      <c r="C20" s="27" t="n">
        <v>1</v>
      </c>
      <c r="D20" s="27" t="n">
        <v>0</v>
      </c>
      <c r="E20" s="27" t="n">
        <v>7</v>
      </c>
      <c r="F20" s="27">
        <f>IFERROR(MIN(C20,D20)*E20/C20,0)</f>
        <v/>
      </c>
      <c r="G20" s="27" t="n"/>
    </row>
    <row r="21" ht="13.5" customHeight="1" s="16">
      <c r="A21" s="25" t="n">
        <v>6</v>
      </c>
      <c r="B21" s="26" t="inlineStr">
        <is>
          <t>System piping for boiler exhaust 
(Standard size)</t>
        </is>
      </c>
      <c r="C21" s="27" t="n">
        <v>1</v>
      </c>
      <c r="D21" s="27" t="n">
        <v>0</v>
      </c>
      <c r="E21" s="27" t="n">
        <v>5</v>
      </c>
      <c r="F21" s="27">
        <f>IFERROR(MIN(C21,D21)*E21/C21,0)</f>
        <v/>
      </c>
      <c r="G21" s="27" t="n"/>
    </row>
    <row r="22" ht="13.5" customHeight="1" s="16">
      <c r="A22" s="25" t="n">
        <v>7</v>
      </c>
      <c r="B22" s="26" t="inlineStr">
        <is>
          <t>System piping for water (Standard size)</t>
        </is>
      </c>
      <c r="C22" s="27" t="n">
        <v>1</v>
      </c>
      <c r="D22" s="27" t="n">
        <v>0</v>
      </c>
      <c r="E22" s="27" t="n">
        <v>5</v>
      </c>
      <c r="F22" s="27">
        <f>IFERROR(MIN(C22,D22)*E22/C22,0)</f>
        <v/>
      </c>
      <c r="G22" s="27" t="n"/>
    </row>
    <row r="23" ht="13.5" customHeight="1" s="16">
      <c r="A23" s="25" t="n">
        <v>8</v>
      </c>
      <c r="B23" s="26" t="inlineStr">
        <is>
          <t>System piping for fuel (Standard size)</t>
        </is>
      </c>
      <c r="C23" s="27" t="n">
        <v>1</v>
      </c>
      <c r="D23" s="27" t="n">
        <v>0</v>
      </c>
      <c r="E23" s="27" t="n">
        <v>5</v>
      </c>
      <c r="F23" s="27">
        <f>IFERROR(MIN(C23,D23)*E23/C23,0)</f>
        <v/>
      </c>
      <c r="G23" s="27" t="n"/>
    </row>
    <row r="24" ht="13.5" customHeight="1" s="16">
      <c r="A24" s="25" t="n">
        <v>9</v>
      </c>
      <c r="B24" s="26" t="inlineStr">
        <is>
          <t>System piping for steam with insulation (Standard size)</t>
        </is>
      </c>
      <c r="C24" s="27" t="n">
        <v>1</v>
      </c>
      <c r="D24" s="27" t="n">
        <v>0</v>
      </c>
      <c r="E24" s="27" t="n">
        <v>5</v>
      </c>
      <c r="F24" s="27">
        <f>IFERROR(MIN(C24,D24)*E24/C24,0)</f>
        <v/>
      </c>
      <c r="G24" s="27" t="n"/>
    </row>
    <row r="25" ht="13.5" customHeight="1" s="16">
      <c r="A25" s="25" t="n">
        <v>10</v>
      </c>
      <c r="B25" s="26" t="inlineStr">
        <is>
          <t>Multimeter</t>
        </is>
      </c>
      <c r="C25" s="27" t="n">
        <v>2</v>
      </c>
      <c r="D25" s="27" t="n">
        <v>0</v>
      </c>
      <c r="E25" s="27" t="n">
        <v>5</v>
      </c>
      <c r="F25" s="27">
        <f>IFERROR(MIN(C25,D25)*E25/C25,0)</f>
        <v/>
      </c>
      <c r="G25" s="27" t="n"/>
    </row>
    <row r="26" ht="13.5" customHeight="1" s="16">
      <c r="A26" s="25" t="n">
        <v>11</v>
      </c>
      <c r="B26" s="26" t="inlineStr">
        <is>
          <t>Pipe Wrenches (24”)</t>
        </is>
      </c>
      <c r="C26" s="27" t="n">
        <v>2</v>
      </c>
      <c r="D26" s="27" t="n">
        <v>0</v>
      </c>
      <c r="E26" s="27" t="n">
        <v>4</v>
      </c>
      <c r="F26" s="27">
        <f>IFERROR(MIN(C26,D26)*E26/C26,0)</f>
        <v/>
      </c>
      <c r="G26" s="27" t="n"/>
    </row>
    <row r="27" ht="13.5" customHeight="1" s="16">
      <c r="A27" s="25" t="n">
        <v>12</v>
      </c>
      <c r="B27" s="26" t="inlineStr">
        <is>
          <t>Adjustable Wrenches</t>
        </is>
      </c>
      <c r="C27" s="27" t="n">
        <v>2</v>
      </c>
      <c r="D27" s="27" t="n">
        <v>0</v>
      </c>
      <c r="E27" s="27" t="n">
        <v>4</v>
      </c>
      <c r="F27" s="27">
        <f>IFERROR(MIN(C27,D27)*E27/C27,0)</f>
        <v/>
      </c>
      <c r="G27" s="27" t="n"/>
    </row>
    <row r="28" ht="13.5" customHeight="1" s="16">
      <c r="A28" s="25" t="n">
        <v>13</v>
      </c>
      <c r="B28" s="26" t="inlineStr">
        <is>
          <t>Spanners set</t>
        </is>
      </c>
      <c r="C28" s="27" t="n">
        <v>1</v>
      </c>
      <c r="D28" s="27" t="n">
        <v>0</v>
      </c>
      <c r="E28" s="27" t="n">
        <v>4</v>
      </c>
      <c r="F28" s="27">
        <f>IFERROR(MIN(C28,D28)*E28/C28,0)</f>
        <v/>
      </c>
      <c r="G28" s="27" t="n"/>
    </row>
    <row r="29" ht="13.5" customHeight="1" s="16">
      <c r="A29" s="25" t="n">
        <v>14</v>
      </c>
      <c r="B29" s="26" t="inlineStr">
        <is>
          <t>LPG cylinder with Propane Gas (35kg)</t>
        </is>
      </c>
      <c r="C29" s="27" t="n">
        <v>10</v>
      </c>
      <c r="D29" s="27" t="n">
        <v>0</v>
      </c>
      <c r="E29" s="27" t="n">
        <v>6</v>
      </c>
      <c r="F29" s="27">
        <f>IFERROR(MIN(C29,D29)*E29/C29,0)</f>
        <v/>
      </c>
      <c r="G29" s="27" t="n"/>
    </row>
    <row r="30" ht="13.5" customHeight="1" s="16">
      <c r="A30" s="25" t="n">
        <v>15</v>
      </c>
      <c r="B30" s="26" t="inlineStr">
        <is>
          <t>Boiler Water Testing Kit</t>
        </is>
      </c>
      <c r="C30" s="27" t="n">
        <v>2</v>
      </c>
      <c r="D30" s="27" t="n">
        <v>0</v>
      </c>
      <c r="E30" s="27" t="n">
        <v>5</v>
      </c>
      <c r="F30" s="27">
        <f>IFERROR(MIN(C30,D30)*E30/C30,0)</f>
        <v/>
      </c>
      <c r="G30" s="27" t="n"/>
    </row>
    <row r="31" ht="13.5" customHeight="1" s="16">
      <c r="A31" s="25" t="n">
        <v>16</v>
      </c>
      <c r="B31" s="26" t="inlineStr">
        <is>
          <t>Burner Nozzles</t>
        </is>
      </c>
      <c r="C31" s="27" t="n">
        <v>2</v>
      </c>
      <c r="D31" s="27" t="n">
        <v>0</v>
      </c>
      <c r="E31" s="27" t="n">
        <v>4</v>
      </c>
      <c r="F31" s="27">
        <f>IFERROR(MIN(C31,D31)*E31/C31,0)</f>
        <v/>
      </c>
      <c r="G31" s="27" t="inlineStr">
        <is>
          <t>2 set</t>
        </is>
      </c>
    </row>
    <row r="32" ht="13.5" customHeight="1" s="16">
      <c r="A32" s="25" t="n">
        <v>17</v>
      </c>
      <c r="B32" s="26" t="inlineStr">
        <is>
          <t>Boiler Tube Cleaning Brushes, chemicals, pump</t>
        </is>
      </c>
      <c r="C32" s="27" t="n">
        <v>2</v>
      </c>
      <c r="D32" s="27" t="n">
        <v>0</v>
      </c>
      <c r="E32" s="27" t="n">
        <v>3</v>
      </c>
      <c r="F32" s="27">
        <f>IFERROR(MIN(C32,D32)*E32/C32,0)</f>
        <v/>
      </c>
      <c r="G32" s="27" t="n"/>
    </row>
    <row r="33" ht="13.5" customHeight="1" s="16">
      <c r="A33" s="25" t="n">
        <v>18</v>
      </c>
      <c r="B33" s="26" t="inlineStr">
        <is>
          <t>Temperature Gun or Thermometer</t>
        </is>
      </c>
      <c r="C33" s="27" t="n">
        <v>1</v>
      </c>
      <c r="D33" s="27" t="n">
        <v>0</v>
      </c>
      <c r="E33" s="27" t="n">
        <v>4</v>
      </c>
      <c r="F33" s="27">
        <f>IFERROR(MIN(C33,D33)*E33/C33,0)</f>
        <v/>
      </c>
      <c r="G33" s="27" t="n"/>
    </row>
    <row r="34" ht="13.5" customHeight="1" s="16">
      <c r="A34" s="25" t="n">
        <v>19</v>
      </c>
      <c r="B34" s="26" t="inlineStr">
        <is>
          <t>Flashlight or Inspection Lamp</t>
        </is>
      </c>
      <c r="C34" s="27" t="n">
        <v>2</v>
      </c>
      <c r="D34" s="27" t="n">
        <v>0</v>
      </c>
      <c r="E34" s="27" t="n">
        <v>3</v>
      </c>
      <c r="F34" s="27">
        <f>IFERROR(MIN(C34,D34)*E34/C34,0)</f>
        <v/>
      </c>
      <c r="G34" s="27" t="n"/>
    </row>
    <row r="35" ht="13.5" customHeight="1" s="16">
      <c r="A35" s="25" t="n">
        <v>20</v>
      </c>
      <c r="B35" s="26" t="inlineStr">
        <is>
          <t>Pipe and Flue Brushes (with item no.6)</t>
        </is>
      </c>
      <c r="C35" s="27" t="n">
        <v>2</v>
      </c>
      <c r="D35" s="27" t="n">
        <v>0</v>
      </c>
      <c r="E35" s="27" t="n">
        <v>3</v>
      </c>
      <c r="F35" s="27">
        <f>IFERROR(MIN(C35,D35)*E35/C35,0)</f>
        <v/>
      </c>
      <c r="G35" s="27" t="n"/>
    </row>
    <row r="36" ht="13.5" customHeight="1" s="16">
      <c r="A36" s="25" t="n">
        <v>21</v>
      </c>
      <c r="B36" s="26" t="inlineStr">
        <is>
          <t>Gaskets and Seals (5 square meter)</t>
        </is>
      </c>
      <c r="C36" s="27" t="n">
        <v>5</v>
      </c>
      <c r="D36" s="27" t="n">
        <v>0</v>
      </c>
      <c r="E36" s="27" t="n">
        <v>3</v>
      </c>
      <c r="F36" s="27">
        <f>IFERROR(MIN(C36,D36)*E36/C36,0)</f>
        <v/>
      </c>
      <c r="G36" s="27" t="n"/>
    </row>
    <row r="37" ht="13.5" customHeight="1" s="16">
      <c r="A37" s="25" t="n">
        <v>22</v>
      </c>
      <c r="B37" s="26" t="inlineStr">
        <is>
          <t>Ignition Electrodes</t>
        </is>
      </c>
      <c r="C37" s="27" t="n">
        <v>2</v>
      </c>
      <c r="D37" s="27" t="n">
        <v>0</v>
      </c>
      <c r="E37" s="27" t="n">
        <v>4</v>
      </c>
      <c r="F37" s="27">
        <f>IFERROR(MIN(C37,D37)*E37/C37,0)</f>
        <v/>
      </c>
      <c r="G37" s="27" t="inlineStr">
        <is>
          <t>2 set</t>
        </is>
      </c>
    </row>
    <row r="38" ht="13.5" customHeight="1" s="16">
      <c r="A38" s="25" t="n">
        <v>23</v>
      </c>
      <c r="B38" s="26" t="inlineStr">
        <is>
          <t>Flame Sensors</t>
        </is>
      </c>
      <c r="C38" s="27" t="n">
        <v>2</v>
      </c>
      <c r="D38" s="27" t="n">
        <v>0</v>
      </c>
      <c r="E38" s="27" t="n">
        <v>5</v>
      </c>
      <c r="F38" s="27">
        <f>IFERROR(MIN(C38,D38)*E38/C38,0)</f>
        <v/>
      </c>
      <c r="G38" s="27" t="n"/>
    </row>
    <row r="39" ht="13.5" customHeight="1" s="16">
      <c r="A39" s="25" t="n">
        <v>24</v>
      </c>
      <c r="B39" s="26" t="inlineStr">
        <is>
          <t>Tool box for boiler</t>
        </is>
      </c>
      <c r="C39" s="27" t="n">
        <v>2</v>
      </c>
      <c r="D39" s="27" t="n">
        <v>0</v>
      </c>
      <c r="E39" s="27" t="n">
        <v>4</v>
      </c>
      <c r="F39" s="27">
        <f>IFERROR(MIN(C39,D39)*E39/C39,0)</f>
        <v/>
      </c>
      <c r="G39" s="27" t="inlineStr">
        <is>
          <t>2 set</t>
        </is>
      </c>
    </row>
    <row r="40" ht="13.5" customHeight="1" s="16">
      <c r="A40" s="25" t="n">
        <v>25</v>
      </c>
      <c r="B40" s="26" t="inlineStr">
        <is>
          <t>Safety valve</t>
        </is>
      </c>
      <c r="C40" s="27" t="n">
        <v>1</v>
      </c>
      <c r="D40" s="27" t="n">
        <v>0</v>
      </c>
      <c r="E40" s="27" t="n">
        <v>6</v>
      </c>
      <c r="F40" s="27">
        <f>IFERROR(MIN(C40,D40)*E40/C40,0)</f>
        <v/>
      </c>
      <c r="G40" s="27" t="n"/>
    </row>
    <row r="41" ht="15" customHeight="1" s="16">
      <c r="A41" s="28" t="inlineStr">
        <is>
          <t>Sum</t>
        </is>
      </c>
      <c r="B41" s="21" t="n"/>
      <c r="C41" s="21" t="n"/>
      <c r="D41" s="29" t="n"/>
      <c r="E41" s="28">
        <f>SUM(E16:E40)</f>
        <v/>
      </c>
      <c r="F41" s="28">
        <f>SUM(F16:F40)</f>
        <v/>
      </c>
      <c r="G41" s="30" t="n"/>
    </row>
    <row r="42" ht="15" customHeight="1" s="16">
      <c r="A42" s="28" t="inlineStr">
        <is>
          <t>Score out of 100</t>
        </is>
      </c>
      <c r="B42" s="21" t="n"/>
      <c r="C42" s="21" t="n"/>
      <c r="D42" s="21" t="n"/>
      <c r="E42" s="29" t="n"/>
      <c r="F42" s="28">
        <f>F41/E41*100</f>
        <v/>
      </c>
      <c r="G42" s="30" t="n"/>
    </row>
    <row r="43" ht="9.75" customHeight="1" s="16">
      <c r="A43" s="15" t="n"/>
    </row>
    <row r="44" ht="15" customHeight="1" s="16">
      <c r="A44" s="28" t="inlineStr">
        <is>
          <t xml:space="preserve">Total achieved points out of 30  </t>
        </is>
      </c>
      <c r="B44" s="21" t="n"/>
      <c r="C44" s="21" t="n"/>
      <c r="D44" s="21" t="n"/>
      <c r="E44" s="29" t="n"/>
      <c r="F44" s="28">
        <f>F42*30/100</f>
        <v/>
      </c>
      <c r="G44" s="28" t="inlineStr">
        <is>
          <t>Points</t>
        </is>
      </c>
    </row>
  </sheetData>
  <mergeCells count="8">
    <mergeCell ref="A13:G13"/>
    <mergeCell ref="C7:G7"/>
    <mergeCell ref="A1:G1"/>
    <mergeCell ref="A42:E42"/>
    <mergeCell ref="A43:G43"/>
    <mergeCell ref="A41:D41"/>
    <mergeCell ref="A44:E44"/>
    <mergeCell ref="C8:G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2026-08-17T07:23:45Z</dcterms:created>
  <dcterms:modified xmlns:dcterms="http://purl.org/dc/terms/" xmlns:xsi="http://www.w3.org/2001/XMLSchema-instance" xsi:type="dcterms:W3CDTF">2026-09-23T10:54:59Z</dcterms:modified>
  <cp:revision>1</cp:revision>
</cp:coreProperties>
</file>
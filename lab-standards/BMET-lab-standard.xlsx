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8</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7</v>
      </c>
      <c r="F24" s="9">
        <f>IFERROR(MIN(C24,D24)*E24/C24,0)</f>
        <v/>
      </c>
      <c r="G24" s="9" t="n"/>
    </row>
    <row r="25" ht="14.15" customHeight="1">
      <c r="A25" s="7" t="n">
        <v>10</v>
      </c>
      <c r="B25" s="8" t="inlineStr">
        <is>
          <t>Power transmission system</t>
        </is>
      </c>
      <c r="C25" s="9" t="n">
        <v>1</v>
      </c>
      <c r="D25" s="9" t="n">
        <v>0</v>
      </c>
      <c r="E25" s="9" t="n">
        <v>7</v>
      </c>
      <c r="F25" s="9">
        <f>IFERROR(MIN(C25,D25)*E25/C25,0)</f>
        <v/>
      </c>
      <c r="G25" s="9" t="n"/>
    </row>
    <row r="26" ht="14.15" customHeight="1">
      <c r="A26" s="7" t="n">
        <v>11</v>
      </c>
      <c r="B26" s="8" t="inlineStr">
        <is>
          <t>Tire changer machine</t>
        </is>
      </c>
      <c r="C26" s="9" t="n">
        <v>1</v>
      </c>
      <c r="D26" s="9" t="n">
        <v>0</v>
      </c>
      <c r="E26" s="9" t="n">
        <v>6</v>
      </c>
      <c r="F26" s="9">
        <f>IFERROR(MIN(C26,D26)*E26/C26,0)</f>
        <v/>
      </c>
      <c r="G26" s="9" t="n"/>
    </row>
    <row r="27" ht="14.15" customHeight="1">
      <c r="A27" s="7" t="n">
        <v>12</v>
      </c>
      <c r="B27" s="8" t="inlineStr">
        <is>
          <t>Wheel balancing machine</t>
        </is>
      </c>
      <c r="C27" s="9" t="n">
        <v>1</v>
      </c>
      <c r="D27" s="9" t="n">
        <v>0</v>
      </c>
      <c r="E27" s="9" t="n">
        <v>6</v>
      </c>
      <c r="F27" s="9">
        <f>IFERROR(MIN(C27,D27)*E27/C27,0)</f>
        <v/>
      </c>
      <c r="G27" s="9" t="n"/>
    </row>
    <row r="28" ht="14.15" customHeight="1">
      <c r="A28" s="7" t="n">
        <v>13</v>
      </c>
      <c r="B28" s="8" t="inlineStr">
        <is>
          <t>Hydraulic lift</t>
        </is>
      </c>
      <c r="C28" s="9" t="n">
        <v>1</v>
      </c>
      <c r="D28" s="9" t="n">
        <v>0</v>
      </c>
      <c r="E28" s="9" t="n">
        <v>9</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7</v>
      </c>
      <c r="F30" s="9">
        <f>IFERROR(MIN(C30,D30)*E30/C30,0)</f>
        <v/>
      </c>
      <c r="G30" s="9" t="n"/>
    </row>
    <row r="31" ht="14.15" customHeight="1">
      <c r="A31" s="7" t="n">
        <v>16</v>
      </c>
      <c r="B31" s="8" t="inlineStr">
        <is>
          <t>Engine scanner</t>
        </is>
      </c>
      <c r="C31" s="9" t="n">
        <v>1</v>
      </c>
      <c r="D31" s="9" t="n">
        <v>0</v>
      </c>
      <c r="E31" s="9" t="n">
        <v>8</v>
      </c>
      <c r="F31" s="9">
        <f>IFERROR(MIN(C31,D31)*E31/C31,0)</f>
        <v/>
      </c>
      <c r="G31" s="9" t="n"/>
    </row>
    <row r="32" ht="14.15" customHeight="1">
      <c r="A32" s="7" t="n">
        <v>17</v>
      </c>
      <c r="B32" s="8" t="inlineStr">
        <is>
          <t>On board diagnostic (OBD) scanner</t>
        </is>
      </c>
      <c r="C32" s="9" t="n">
        <v>1</v>
      </c>
      <c r="D32" s="9" t="n">
        <v>0</v>
      </c>
      <c r="E32" s="9" t="n">
        <v>8</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7</v>
      </c>
      <c r="F34" s="9">
        <f>IFERROR(MIN(C34,D34)*E34/C34,0)</f>
        <v/>
      </c>
      <c r="G34" s="9" t="n"/>
    </row>
    <row r="35" ht="14.15" customHeight="1">
      <c r="A35" s="7" t="n">
        <v>20</v>
      </c>
      <c r="B35" s="8" t="inlineStr">
        <is>
          <t>Trainer board of brake system</t>
        </is>
      </c>
      <c r="C35" s="9" t="n">
        <v>1</v>
      </c>
      <c r="D35" s="9" t="n">
        <v>0</v>
      </c>
      <c r="E35" s="9" t="n">
        <v>7</v>
      </c>
      <c r="F35" s="9">
        <f>IFERROR(MIN(C35,D35)*E35/C35,0)</f>
        <v/>
      </c>
      <c r="G35" s="9" t="n"/>
    </row>
    <row r="36" ht="14.15" customHeight="1">
      <c r="A36" s="7" t="n">
        <v>21</v>
      </c>
      <c r="B36" s="8" t="inlineStr">
        <is>
          <t>Trainer board of transmission system</t>
        </is>
      </c>
      <c r="C36" s="9" t="n">
        <v>1</v>
      </c>
      <c r="D36" s="9" t="n">
        <v>0</v>
      </c>
      <c r="E36" s="9" t="n">
        <v>7</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5</v>
      </c>
      <c r="F24" s="9">
        <f>IFERROR(MIN(C24,D24)*E24/C24,0)</f>
        <v/>
      </c>
      <c r="G24" s="9" t="n"/>
    </row>
    <row r="25" ht="14.15" customHeight="1">
      <c r="A25" s="7" t="n">
        <v>10</v>
      </c>
      <c r="B25" s="8" t="inlineStr">
        <is>
          <t>Television (LED)</t>
        </is>
      </c>
      <c r="C25" s="9" t="n">
        <v>1</v>
      </c>
      <c r="D25" s="9" t="n">
        <v>0</v>
      </c>
      <c r="E25" s="9" t="n">
        <v>5</v>
      </c>
      <c r="F25" s="9">
        <f>IFERROR(MIN(C25,D25)*E25/C25,0)</f>
        <v/>
      </c>
      <c r="G25" s="9" t="n"/>
    </row>
    <row r="26" ht="14.15" customHeight="1">
      <c r="A26" s="7" t="n">
        <v>11</v>
      </c>
      <c r="B26" s="8" t="inlineStr">
        <is>
          <t>Minibar</t>
        </is>
      </c>
      <c r="C26" s="9" t="n">
        <v>1</v>
      </c>
      <c r="D26" s="9" t="n">
        <v>0</v>
      </c>
      <c r="E26" s="9" t="n">
        <v>5</v>
      </c>
      <c r="F26" s="9">
        <f>IFERROR(MIN(C26,D26)*E26/C26,0)</f>
        <v/>
      </c>
      <c r="G26" s="9" t="n"/>
    </row>
    <row r="27" ht="14.15" customHeight="1">
      <c r="A27" s="7" t="n">
        <v>12</v>
      </c>
      <c r="B27" s="8" t="inlineStr">
        <is>
          <t>Safe deposit box</t>
        </is>
      </c>
      <c r="C27" s="9" t="n">
        <v>1</v>
      </c>
      <c r="D27" s="9" t="n">
        <v>0</v>
      </c>
      <c r="E27" s="9" t="n">
        <v>5</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4</v>
      </c>
      <c r="F29" s="9">
        <f>IFERROR(MIN(C29,D29)*E29/C29,0)</f>
        <v/>
      </c>
      <c r="G29" s="9" t="n"/>
    </row>
    <row r="30" ht="14.15" customHeight="1">
      <c r="A30" s="7"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7" t="n">
        <v>16</v>
      </c>
      <c r="B31" s="8" t="inlineStr">
        <is>
          <t>Terry (Bath towel, hand towel, face towel, bath met and bathrobe)</t>
        </is>
      </c>
      <c r="C31" s="9" t="n">
        <v>1</v>
      </c>
      <c r="D31" s="9" t="n">
        <v>0</v>
      </c>
      <c r="E31" s="9" t="n">
        <v>7</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4</v>
      </c>
      <c r="F36" s="9">
        <f>IFERROR(MIN(C36,D36)*E36/C36,0)</f>
        <v/>
      </c>
      <c r="G36" s="9" t="n"/>
    </row>
    <row r="37" ht="14.15" customHeight="1">
      <c r="A37" s="7" t="n">
        <v>22</v>
      </c>
      <c r="B37" s="8" t="inlineStr">
        <is>
          <t>Vacuum cleaner (wet and dry)</t>
        </is>
      </c>
      <c r="C37" s="9" t="n">
        <v>1</v>
      </c>
      <c r="D37" s="9" t="n">
        <v>0</v>
      </c>
      <c r="E37" s="9" t="n">
        <v>7</v>
      </c>
      <c r="F37" s="9">
        <f>IFERROR(MIN(C37,D37)*E37/C37,0)</f>
        <v/>
      </c>
      <c r="G37" s="9" t="n"/>
    </row>
    <row r="38" ht="14.15" customHeight="1">
      <c r="A38" s="7" t="n">
        <v>23</v>
      </c>
      <c r="B38" s="8" t="inlineStr">
        <is>
          <t>Glass wiper (short/long)</t>
        </is>
      </c>
      <c r="C38" s="9" t="n">
        <v>4</v>
      </c>
      <c r="D38" s="9" t="n">
        <v>0</v>
      </c>
      <c r="E38" s="9" t="n">
        <v>4</v>
      </c>
      <c r="F38" s="9">
        <f>IFERROR(MIN(C38,D38)*E38/C38,0)</f>
        <v/>
      </c>
      <c r="G38" s="9" t="n"/>
    </row>
    <row r="39" ht="14.15" customHeight="1">
      <c r="A39" s="7" t="n">
        <v>24</v>
      </c>
      <c r="B39" s="8" t="inlineStr">
        <is>
          <t>Squeezer (short/long)</t>
        </is>
      </c>
      <c r="C39" s="9" t="n">
        <v>4</v>
      </c>
      <c r="D39" s="9" t="n">
        <v>0</v>
      </c>
      <c r="E39" s="9" t="n">
        <v>4</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3</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9</v>
      </c>
      <c r="F16" s="9">
        <f>IFERROR(MIN(C16,D16)*E16/C16,0)</f>
        <v/>
      </c>
      <c r="G16" s="9" t="n"/>
    </row>
    <row r="17" ht="14.15" customHeight="1">
      <c r="A17" s="7" t="n">
        <v>2</v>
      </c>
      <c r="B17" s="8" t="inlineStr">
        <is>
          <t>Pump (Primary and Secondary)</t>
        </is>
      </c>
      <c r="C17" s="9" t="n">
        <v>2</v>
      </c>
      <c r="D17" s="9" t="n">
        <v>0</v>
      </c>
      <c r="E17" s="9" t="n">
        <v>8</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4</v>
      </c>
      <c r="F21" s="9">
        <f>IFERROR(MIN(C21,D21)*E21/C21,0)</f>
        <v/>
      </c>
      <c r="G21" s="9" t="n"/>
    </row>
    <row r="22" ht="14.15" customHeight="1">
      <c r="A22" s="7" t="n">
        <v>7</v>
      </c>
      <c r="B22" s="8" t="inlineStr">
        <is>
          <t>MS Pipe (1” Dia) each of 20’</t>
        </is>
      </c>
      <c r="C22" s="9" t="n">
        <v>4</v>
      </c>
      <c r="D22" s="9" t="n">
        <v>0</v>
      </c>
      <c r="E22" s="9" t="n">
        <v>4</v>
      </c>
      <c r="F22" s="9">
        <f>IFERROR(MIN(C22,D22)*E22/C22,0)</f>
        <v/>
      </c>
      <c r="G22" s="9" t="n"/>
    </row>
    <row r="23" ht="14.15" customHeight="1">
      <c r="A23" s="7" t="n">
        <v>8</v>
      </c>
      <c r="B23" s="8" t="inlineStr">
        <is>
          <t>Copper tube (1/2”, 3/4”, 1” Dia) each of 1 coil</t>
        </is>
      </c>
      <c r="C23" s="9" t="n">
        <v>3</v>
      </c>
      <c r="D23" s="9" t="n">
        <v>0</v>
      </c>
      <c r="E23" s="9" t="n">
        <v>4</v>
      </c>
      <c r="F23" s="9">
        <f>IFERROR(MIN(C23,D23)*E23/C23,0)</f>
        <v/>
      </c>
      <c r="G23" s="9" t="n"/>
    </row>
    <row r="24" ht="14.15" customHeight="1">
      <c r="A24" s="7" t="n">
        <v>9</v>
      </c>
      <c r="B24" s="8" t="inlineStr">
        <is>
          <t>Gate valve (2”, and 1” Dia) each of 6 pcs</t>
        </is>
      </c>
      <c r="C24" s="9" t="n">
        <v>2</v>
      </c>
      <c r="D24" s="9" t="n">
        <v>0</v>
      </c>
      <c r="E24" s="9" t="n">
        <v>4</v>
      </c>
      <c r="F24" s="9">
        <f>IFERROR(MIN(C24,D24)*E24/C24,0)</f>
        <v/>
      </c>
      <c r="G24" s="9" t="n"/>
    </row>
    <row r="25" ht="14.15" customHeight="1">
      <c r="A25" s="7" t="n">
        <v>10</v>
      </c>
      <c r="B25" s="8" t="inlineStr">
        <is>
          <t>Chilled water control valve (1” and 2” Dia) each of 2 pcs</t>
        </is>
      </c>
      <c r="C25" s="9" t="n">
        <v>4</v>
      </c>
      <c r="D25" s="9" t="n">
        <v>0</v>
      </c>
      <c r="E25" s="9" t="n">
        <v>5</v>
      </c>
      <c r="F25" s="9">
        <f>IFERROR(MIN(C25,D25)*E25/C25,0)</f>
        <v/>
      </c>
      <c r="G25" s="9" t="n"/>
    </row>
    <row r="26" ht="14.15" customHeight="1">
      <c r="A26" s="7" t="n">
        <v>11</v>
      </c>
      <c r="B26" s="8" t="inlineStr">
        <is>
          <t>Flexible pipe joint (2”, and 1” Dia) each of 4 pcs</t>
        </is>
      </c>
      <c r="C26" s="9" t="n">
        <v>8</v>
      </c>
      <c r="D26" s="9" t="n">
        <v>0</v>
      </c>
      <c r="E26" s="9" t="n">
        <v>4</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2</v>
      </c>
      <c r="D16" s="9" t="n">
        <v>0</v>
      </c>
      <c r="E16" s="9" t="n">
        <v>5</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PLC CPU</t>
        </is>
      </c>
      <c r="C19" s="9" t="n">
        <v>1</v>
      </c>
      <c r="D19" s="9" t="n">
        <v>0</v>
      </c>
      <c r="E19" s="9" t="n">
        <v>9</v>
      </c>
      <c r="F19" s="9">
        <f>IFERROR(MIN(C19,D19)*E19/C19,0)</f>
        <v/>
      </c>
      <c r="G19" s="9" t="n"/>
    </row>
    <row r="20" ht="14.15" customHeight="1">
      <c r="A20" s="7" t="n">
        <v>5</v>
      </c>
      <c r="B20" s="8" t="inlineStr">
        <is>
          <t>HMI</t>
        </is>
      </c>
      <c r="C20" s="9" t="n">
        <v>1</v>
      </c>
      <c r="D20" s="9" t="n">
        <v>0</v>
      </c>
      <c r="E20" s="9" t="n">
        <v>8</v>
      </c>
      <c r="F20" s="9">
        <f>IFERROR(MIN(C20,D20)*E20/C20,0)</f>
        <v/>
      </c>
      <c r="G20" s="9" t="n"/>
    </row>
    <row r="21" ht="14.15" customHeight="1">
      <c r="A21" s="7" t="n">
        <v>6</v>
      </c>
      <c r="B21" s="8" t="inlineStr">
        <is>
          <t>Drive (VFD)</t>
        </is>
      </c>
      <c r="C21" s="9" t="n">
        <v>1</v>
      </c>
      <c r="D21" s="9" t="n">
        <v>0</v>
      </c>
      <c r="E21" s="9" t="n">
        <v>8</v>
      </c>
      <c r="F21" s="9">
        <f>IFERROR(MIN(C21,D21)*E21/C21,0)</f>
        <v/>
      </c>
      <c r="G21" s="9" t="n"/>
    </row>
    <row r="22" ht="14.15" customHeight="1">
      <c r="A22" s="7" t="n">
        <v>7</v>
      </c>
      <c r="B22" s="8" t="inlineStr">
        <is>
          <t>Motor</t>
        </is>
      </c>
      <c r="C22" s="9" t="n">
        <v>1</v>
      </c>
      <c r="D22" s="9" t="n">
        <v>0</v>
      </c>
      <c r="E22" s="9" t="n">
        <v>7</v>
      </c>
      <c r="F22" s="9">
        <f>IFERROR(MIN(C22,D22)*E22/C22,0)</f>
        <v/>
      </c>
      <c r="G22" s="9" t="n"/>
    </row>
    <row r="23" ht="14.15" customHeight="1">
      <c r="A23" s="7" t="n">
        <v>8</v>
      </c>
      <c r="B23" s="8" t="inlineStr">
        <is>
          <t>SMD re-work station</t>
        </is>
      </c>
      <c r="C23" s="9" t="n">
        <v>10</v>
      </c>
      <c r="D23" s="9" t="n">
        <v>0</v>
      </c>
      <c r="E23" s="9" t="n">
        <v>8</v>
      </c>
      <c r="F23" s="9">
        <f>IFERROR(MIN(C23,D23)*E23/C23,0)</f>
        <v/>
      </c>
      <c r="G23" s="9" t="n"/>
    </row>
    <row r="24" ht="14.15" customHeight="1">
      <c r="A24" s="7" t="n">
        <v>9</v>
      </c>
      <c r="B24" s="8" t="inlineStr">
        <is>
          <t>Analog Output Module (AQ)</t>
        </is>
      </c>
      <c r="C24" s="9" t="n">
        <v>1</v>
      </c>
      <c r="D24" s="9" t="n">
        <v>0</v>
      </c>
      <c r="E24" s="9" t="n">
        <v>6</v>
      </c>
      <c r="F24" s="9">
        <f>IFERROR(MIN(C24,D24)*E24/C24,0)</f>
        <v/>
      </c>
      <c r="G24" s="9" t="n"/>
    </row>
    <row r="25" ht="14.15" customHeight="1">
      <c r="A25" s="7" t="n">
        <v>10</v>
      </c>
      <c r="B25" s="8" t="inlineStr">
        <is>
          <t>Ethernet/Profinet Cables</t>
        </is>
      </c>
      <c r="C25" s="9" t="n">
        <v>2</v>
      </c>
      <c r="D25" s="9" t="n">
        <v>0</v>
      </c>
      <c r="E25" s="9" t="n">
        <v>3</v>
      </c>
      <c r="F25" s="9">
        <f>IFERROR(MIN(C25,D25)*E25/C25,0)</f>
        <v/>
      </c>
      <c r="G25" s="9" t="n"/>
    </row>
    <row r="26" ht="14.15" customHeight="1">
      <c r="A26" s="7" t="n">
        <v>11</v>
      </c>
      <c r="B26" s="8" t="inlineStr">
        <is>
          <t>Multimeter</t>
        </is>
      </c>
      <c r="C26" s="9" t="n">
        <v>10</v>
      </c>
      <c r="D26" s="9" t="n">
        <v>0</v>
      </c>
      <c r="E26" s="9" t="n">
        <v>7</v>
      </c>
      <c r="F26" s="9">
        <f>IFERROR(MIN(C26,D26)*E26/C26,0)</f>
        <v/>
      </c>
      <c r="G26" s="9" t="n"/>
    </row>
    <row r="27" ht="14.15" customHeight="1">
      <c r="A27" s="7" t="n">
        <v>12</v>
      </c>
      <c r="B27" s="8" t="inlineStr">
        <is>
          <t>Power Supply Unit</t>
        </is>
      </c>
      <c r="C27" s="9" t="n">
        <v>10</v>
      </c>
      <c r="D27" s="9" t="n">
        <v>0</v>
      </c>
      <c r="E27" s="9" t="n">
        <v>6</v>
      </c>
      <c r="F27" s="9">
        <f>IFERROR(MIN(C27,D27)*E27/C27,0)</f>
        <v/>
      </c>
      <c r="G27" s="9" t="n"/>
    </row>
    <row r="28" ht="14.15" customHeight="1">
      <c r="A28" s="7" t="n">
        <v>13</v>
      </c>
      <c r="B28" s="8" t="inlineStr">
        <is>
          <t>Soldering Iron</t>
        </is>
      </c>
      <c r="C28" s="9" t="n">
        <v>25</v>
      </c>
      <c r="D28" s="9" t="n">
        <v>0</v>
      </c>
      <c r="E28" s="9" t="n">
        <v>6</v>
      </c>
      <c r="F28" s="9">
        <f>IFERROR(MIN(C28,D28)*E28/C28,0)</f>
        <v/>
      </c>
      <c r="G28" s="9" t="n"/>
    </row>
    <row r="29" ht="14.15" customHeight="1">
      <c r="A29" s="7" t="n">
        <v>14</v>
      </c>
      <c r="B29" s="8" t="inlineStr">
        <is>
          <t>Desoldering Pump</t>
        </is>
      </c>
      <c r="C29" s="9" t="n">
        <v>25</v>
      </c>
      <c r="D29" s="9" t="n">
        <v>0</v>
      </c>
      <c r="E29" s="9" t="n">
        <v>4</v>
      </c>
      <c r="F29" s="9">
        <f>IFERROR(MIN(C29,D29)*E29/C29,0)</f>
        <v/>
      </c>
      <c r="G29" s="9" t="n"/>
    </row>
    <row r="30" ht="14.15" customHeight="1">
      <c r="A30" s="7" t="n">
        <v>15</v>
      </c>
      <c r="B30" s="8" t="inlineStr">
        <is>
          <t>Oscilloscope</t>
        </is>
      </c>
      <c r="C30" s="9" t="n">
        <v>10</v>
      </c>
      <c r="D30" s="9" t="n">
        <v>0</v>
      </c>
      <c r="E30" s="9" t="n">
        <v>8</v>
      </c>
      <c r="F30" s="9">
        <f>IFERROR(MIN(C30,D30)*E30/C30,0)</f>
        <v/>
      </c>
      <c r="G30" s="9" t="n"/>
    </row>
    <row r="31" ht="14.15" customHeight="1">
      <c r="A31" s="7" t="n">
        <v>16</v>
      </c>
      <c r="B31" s="8" t="inlineStr">
        <is>
          <t>Wire Strippers</t>
        </is>
      </c>
      <c r="C31" s="9" t="n">
        <v>25</v>
      </c>
      <c r="D31" s="9" t="n">
        <v>0</v>
      </c>
      <c r="E31" s="9" t="n">
        <v>3</v>
      </c>
      <c r="F31" s="9">
        <f>IFERROR(MIN(C31,D31)*E31/C31,0)</f>
        <v/>
      </c>
      <c r="G31" s="9" t="n"/>
    </row>
    <row r="32" ht="14.15" customHeight="1">
      <c r="A32" s="7" t="n">
        <v>17</v>
      </c>
      <c r="B32" s="8" t="inlineStr">
        <is>
          <t>Crimping Tool</t>
        </is>
      </c>
      <c r="C32" s="9" t="n">
        <v>25</v>
      </c>
      <c r="D32" s="9" t="n">
        <v>0</v>
      </c>
      <c r="E32" s="9" t="n">
        <v>3</v>
      </c>
      <c r="F32" s="9">
        <f>IFERROR(MIN(C32,D32)*E32/C32,0)</f>
        <v/>
      </c>
      <c r="G32" s="9" t="n"/>
    </row>
    <row r="33" ht="14.15" customHeight="1">
      <c r="A33" s="7" t="n">
        <v>18</v>
      </c>
      <c r="B33" s="8" t="inlineStr">
        <is>
          <t>Screwdrivers and Pliers</t>
        </is>
      </c>
      <c r="C33" s="9" t="n">
        <v>25</v>
      </c>
      <c r="D33" s="9" t="n">
        <v>0</v>
      </c>
      <c r="E33" s="9" t="n">
        <v>3</v>
      </c>
      <c r="F33" s="9">
        <f>IFERROR(MIN(C33,D33)*E33/C33,0)</f>
        <v/>
      </c>
      <c r="G33" s="9" t="n"/>
    </row>
    <row r="34" ht="14.15" customHeight="1">
      <c r="A34" s="7" t="n">
        <v>19</v>
      </c>
      <c r="B34" s="8" t="inlineStr">
        <is>
          <t>PCB (Printed Circuit Board)</t>
        </is>
      </c>
      <c r="C34" s="9" t="n">
        <v>25</v>
      </c>
      <c r="D34" s="9" t="n">
        <v>0</v>
      </c>
      <c r="E34" s="9" t="n">
        <v>4</v>
      </c>
      <c r="F34" s="9">
        <f>IFERROR(MIN(C34,D34)*E34/C34,0)</f>
        <v/>
      </c>
      <c r="G34" s="9" t="n"/>
    </row>
    <row r="35" ht="14.15" customHeight="1">
      <c r="A35" s="7" t="n">
        <v>20</v>
      </c>
      <c r="B35" s="8" t="inlineStr">
        <is>
          <t>Electronic Components</t>
        </is>
      </c>
      <c r="C35" s="9" t="n">
        <v>25</v>
      </c>
      <c r="D35" s="9" t="n">
        <v>0</v>
      </c>
      <c r="E35" s="9" t="n">
        <v>4</v>
      </c>
      <c r="F35" s="9">
        <f>IFERROR(MIN(C35,D35)*E35/C35,0)</f>
        <v/>
      </c>
      <c r="G35" s="9" t="n"/>
    </row>
    <row r="36" ht="14.15" customHeight="1">
      <c r="A36" s="7" t="n">
        <v>21</v>
      </c>
      <c r="B36" s="8" t="inlineStr">
        <is>
          <t>Tweezers</t>
        </is>
      </c>
      <c r="C36" s="9" t="n">
        <v>25</v>
      </c>
      <c r="D36" s="9" t="n">
        <v>0</v>
      </c>
      <c r="E36" s="9" t="n">
        <v>3</v>
      </c>
      <c r="F36" s="9">
        <f>IFERROR(MIN(C36,D36)*E36/C36,0)</f>
        <v/>
      </c>
      <c r="G36" s="9" t="n"/>
    </row>
    <row r="37" ht="14.15" customHeight="1">
      <c r="A37" s="7" t="n">
        <v>22</v>
      </c>
      <c r="B37" s="8" t="inlineStr">
        <is>
          <t>Hot Gun</t>
        </is>
      </c>
      <c r="C37" s="9" t="n">
        <v>10</v>
      </c>
      <c r="D37" s="9" t="n">
        <v>0</v>
      </c>
      <c r="E37" s="9" t="n">
        <v>5</v>
      </c>
      <c r="F37" s="9">
        <f>IFERROR(MIN(C37,D37)*E37/C37,0)</f>
        <v/>
      </c>
      <c r="G37" s="9" t="n"/>
    </row>
    <row r="38" ht="14.15" customHeight="1">
      <c r="A38" s="7" t="n">
        <v>23</v>
      </c>
      <c r="B38" s="8" t="inlineStr">
        <is>
          <t>Component Tester</t>
        </is>
      </c>
      <c r="C38" s="9" t="n">
        <v>25</v>
      </c>
      <c r="D38" s="9" t="n">
        <v>0</v>
      </c>
      <c r="E38" s="9" t="n">
        <v>6</v>
      </c>
      <c r="F38" s="9">
        <f>IFERROR(MIN(C38,D38)*E38/C38,0)</f>
        <v/>
      </c>
      <c r="G38" s="9" t="n"/>
    </row>
    <row r="39" ht="14.15" customHeight="1">
      <c r="A39" s="7" t="n">
        <v>24</v>
      </c>
      <c r="B39" s="8" t="inlineStr">
        <is>
          <t>Signal Generator</t>
        </is>
      </c>
      <c r="C39" s="9" t="n">
        <v>10</v>
      </c>
      <c r="D39" s="9" t="n">
        <v>0</v>
      </c>
      <c r="E39" s="9" t="n">
        <v>7</v>
      </c>
      <c r="F39" s="9">
        <f>IFERROR(MIN(C39,D39)*E39/C39,0)</f>
        <v/>
      </c>
      <c r="G39" s="9" t="n"/>
    </row>
    <row r="40" ht="14.15" customHeight="1">
      <c r="A40" s="7" t="n">
        <v>25</v>
      </c>
      <c r="B40" s="8" t="inlineStr">
        <is>
          <t>Insulation Resistance Tester</t>
        </is>
      </c>
      <c r="C40" s="9" t="n">
        <v>25</v>
      </c>
      <c r="D40" s="9" t="n">
        <v>0</v>
      </c>
      <c r="E40" s="9" t="n">
        <v>6</v>
      </c>
      <c r="F40" s="9">
        <f>IFERROR(MIN(C40,D40)*E40/C40,0)</f>
        <v/>
      </c>
      <c r="G40" s="9" t="n"/>
    </row>
    <row r="41">
      <c r="A41" s="10" t="inlineStr">
        <is>
          <t>Sum</t>
        </is>
      </c>
      <c r="B41" s="11" t="n"/>
      <c r="C41" s="11" t="n"/>
      <c r="D41" s="12" t="n"/>
      <c r="E41" s="10">
        <f>SUM(E16:E40)</f>
        <v/>
      </c>
      <c r="F41" s="10">
        <f>SUM(F16:F40)</f>
        <v/>
      </c>
      <c r="G41" s="13" t="n"/>
    </row>
    <row r="42">
      <c r="A42" s="10" t="inlineStr">
        <is>
          <t>Score out of 100</t>
        </is>
      </c>
      <c r="B42" s="11" t="n"/>
      <c r="C42" s="11" t="n"/>
      <c r="D42" s="11" t="n"/>
      <c r="E42" s="12" t="n"/>
      <c r="F42" s="10">
        <f>F41/E41*100</f>
        <v/>
      </c>
      <c r="G42" s="13" t="n"/>
    </row>
    <row r="43" ht="9.75" customHeight="1"/>
    <row r="44">
      <c r="A44" s="10" t="inlineStr">
        <is>
          <t xml:space="preserve">Total achieved points out of 30  </t>
        </is>
      </c>
      <c r="B44" s="11" t="n"/>
      <c r="C44" s="11" t="n"/>
      <c r="D44" s="11" t="n"/>
      <c r="E44" s="12" t="n"/>
      <c r="F44" s="10">
        <f>F42*30/100</f>
        <v/>
      </c>
      <c r="G44" s="10"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6</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internet connection</t>
        </is>
      </c>
      <c r="C16" s="9" t="n">
        <v>1</v>
      </c>
      <c r="D16" s="9" t="n">
        <v>0</v>
      </c>
      <c r="E16" s="9" t="n">
        <v>5</v>
      </c>
      <c r="F16" s="9">
        <f>IFERROR(MIN(C16,D16)*E16/C16,0)</f>
        <v/>
      </c>
      <c r="G16" s="9" t="n"/>
    </row>
    <row r="17" ht="14.15" customHeight="1">
      <c r="A17" s="7" t="n">
        <v>2</v>
      </c>
      <c r="B17" s="8" t="inlineStr">
        <is>
          <t>Projector and projector screen</t>
        </is>
      </c>
      <c r="C17" s="9" t="n">
        <v>1</v>
      </c>
      <c r="D17" s="9" t="n">
        <v>0</v>
      </c>
      <c r="E17" s="9" t="n">
        <v>5</v>
      </c>
      <c r="F17" s="9">
        <f>IFERROR(MIN(C17,D17)*E17/C17,0)</f>
        <v/>
      </c>
      <c r="G17" s="9" t="n"/>
    </row>
    <row r="18" ht="14.15" customHeight="1">
      <c r="A18" s="7" t="n">
        <v>3</v>
      </c>
      <c r="B18" s="8" t="inlineStr">
        <is>
          <t>Marine Diesel engine</t>
        </is>
      </c>
      <c r="C18" s="9" t="n">
        <v>3</v>
      </c>
      <c r="D18" s="9" t="n">
        <v>0</v>
      </c>
      <c r="E18" s="9" t="n">
        <v>10</v>
      </c>
      <c r="F18" s="9">
        <f>IFERROR(MIN(C18,D18)*E18/C18,0)</f>
        <v/>
      </c>
      <c r="G18" s="9" t="n"/>
    </row>
    <row r="19" ht="14.15" customHeight="1">
      <c r="A19" s="7" t="n">
        <v>4</v>
      </c>
      <c r="B19" s="8" t="inlineStr">
        <is>
          <t>Engine Cooler (Tube type)</t>
        </is>
      </c>
      <c r="C19" s="9" t="n">
        <v>1</v>
      </c>
      <c r="D19" s="9" t="n">
        <v>0</v>
      </c>
      <c r="E19" s="9" t="n">
        <v>6</v>
      </c>
      <c r="F19" s="9">
        <f>IFERROR(MIN(C19,D19)*E19/C19,0)</f>
        <v/>
      </c>
      <c r="G19" s="9" t="n"/>
    </row>
    <row r="20" ht="14.15" customHeight="1">
      <c r="A20" s="7" t="n">
        <v>5</v>
      </c>
      <c r="B20" s="8" t="inlineStr">
        <is>
          <t>Engine Cooler (Plate type)</t>
        </is>
      </c>
      <c r="C20" s="9" t="n">
        <v>1</v>
      </c>
      <c r="D20" s="9" t="n">
        <v>0</v>
      </c>
      <c r="E20" s="9" t="n">
        <v>6</v>
      </c>
      <c r="F20" s="9">
        <f>IFERROR(MIN(C20,D20)*E20/C20,0)</f>
        <v/>
      </c>
      <c r="G20" s="9" t="n"/>
    </row>
    <row r="21" ht="14.15" customHeight="1">
      <c r="A21" s="7" t="n">
        <v>6</v>
      </c>
      <c r="B21" s="8" t="inlineStr">
        <is>
          <t>Engine Crank shaft</t>
        </is>
      </c>
      <c r="C21" s="9" t="n">
        <v>1</v>
      </c>
      <c r="D21" s="9" t="n">
        <v>0</v>
      </c>
      <c r="E21" s="9" t="n">
        <v>7</v>
      </c>
      <c r="F21" s="9">
        <f>IFERROR(MIN(C21,D21)*E21/C21,0)</f>
        <v/>
      </c>
      <c r="G21" s="9" t="n"/>
    </row>
    <row r="22" ht="14.15" customHeight="1">
      <c r="A22" s="7" t="n">
        <v>7</v>
      </c>
      <c r="B22" s="8" t="inlineStr">
        <is>
          <t>Different engine component set</t>
        </is>
      </c>
      <c r="C22" s="9" t="n">
        <v>2</v>
      </c>
      <c r="D22" s="9" t="n">
        <v>0</v>
      </c>
      <c r="E22" s="9" t="n">
        <v>6</v>
      </c>
      <c r="F22" s="9">
        <f>IFERROR(MIN(C22,D22)*E22/C22,0)</f>
        <v/>
      </c>
      <c r="G22" s="9" t="n"/>
    </row>
    <row r="23" ht="14.15" customHeight="1">
      <c r="A23" s="7" t="n">
        <v>8</v>
      </c>
      <c r="B23" s="8" t="inlineStr">
        <is>
          <t>Centrifugal Pump</t>
        </is>
      </c>
      <c r="C23" s="9" t="n">
        <v>2</v>
      </c>
      <c r="D23" s="9" t="n">
        <v>0</v>
      </c>
      <c r="E23" s="9" t="n">
        <v>7</v>
      </c>
      <c r="F23" s="9">
        <f>IFERROR(MIN(C23,D23)*E23/C23,0)</f>
        <v/>
      </c>
      <c r="G23" s="9" t="n"/>
    </row>
    <row r="24" ht="14.15" customHeight="1">
      <c r="A24" s="7" t="n">
        <v>9</v>
      </c>
      <c r="B24" s="8" t="inlineStr">
        <is>
          <t>Positive displacement pump</t>
        </is>
      </c>
      <c r="C24" s="9" t="n">
        <v>2</v>
      </c>
      <c r="D24" s="9" t="n">
        <v>0</v>
      </c>
      <c r="E24" s="9" t="n">
        <v>7</v>
      </c>
      <c r="F24" s="9">
        <f>IFERROR(MIN(C24,D24)*E24/C24,0)</f>
        <v/>
      </c>
      <c r="G24" s="9" t="n"/>
    </row>
    <row r="25" ht="14.15" customHeight="1">
      <c r="A25" s="7" t="n">
        <v>10</v>
      </c>
      <c r="B25" s="8" t="inlineStr">
        <is>
          <t>Main bearing</t>
        </is>
      </c>
      <c r="C25" s="9" t="n">
        <v>1</v>
      </c>
      <c r="D25" s="9" t="n">
        <v>0</v>
      </c>
      <c r="E25" s="9" t="n">
        <v>4</v>
      </c>
      <c r="F25" s="9">
        <f>IFERROR(MIN(C25,D25)*E25/C25,0)</f>
        <v/>
      </c>
      <c r="G25" s="9" t="n"/>
    </row>
    <row r="26" ht="14.15" customHeight="1">
      <c r="A26" s="7" t="n">
        <v>11</v>
      </c>
      <c r="B26" s="8" t="inlineStr">
        <is>
          <t>Crank pin bearing</t>
        </is>
      </c>
      <c r="C26" s="9" t="n">
        <v>1</v>
      </c>
      <c r="D26" s="9" t="n">
        <v>0</v>
      </c>
      <c r="E26" s="9" t="n">
        <v>4</v>
      </c>
      <c r="F26" s="9">
        <f>IFERROR(MIN(C26,D26)*E26/C26,0)</f>
        <v/>
      </c>
      <c r="G26" s="9" t="n"/>
    </row>
    <row r="27" ht="14.15" customHeight="1">
      <c r="A27" s="7" t="n">
        <v>12</v>
      </c>
      <c r="B27" s="8" t="inlineStr">
        <is>
          <t>Battery (100 AH) with charger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8</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7</v>
      </c>
      <c r="F22" s="9">
        <f>IFERROR(MIN(C22,D22)*E22/C22,0)</f>
        <v/>
      </c>
      <c r="G22" s="9" t="n"/>
    </row>
    <row r="23" ht="14.15" customHeight="1">
      <c r="A23" s="7" t="n">
        <v>8</v>
      </c>
      <c r="B23" s="8" t="inlineStr">
        <is>
          <t>Power Supply Units</t>
        </is>
      </c>
      <c r="C23" s="9" t="n">
        <v>25</v>
      </c>
      <c r="D23" s="9" t="n">
        <v>0</v>
      </c>
      <c r="E23" s="9" t="n">
        <v>6</v>
      </c>
      <c r="F23" s="9">
        <f>IFERROR(MIN(C23,D23)*E23/C23,0)</f>
        <v/>
      </c>
      <c r="G23" s="9" t="n"/>
    </row>
    <row r="24" ht="14.15" customHeight="1">
      <c r="A24" s="7" t="n">
        <v>9</v>
      </c>
      <c r="B24" s="8" t="inlineStr">
        <is>
          <t>Battery Testers</t>
        </is>
      </c>
      <c r="C24" s="9" t="n">
        <v>5</v>
      </c>
      <c r="D24" s="9" t="n">
        <v>0</v>
      </c>
      <c r="E24" s="9" t="n">
        <v>6</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4</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3</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4</v>
      </c>
      <c r="F32" s="9">
        <f>IFERROR(MIN(C32,D32)*E32/C32,0)</f>
        <v/>
      </c>
      <c r="G32" s="9" t="n"/>
    </row>
    <row r="33" ht="14.15" customHeight="1">
      <c r="A33" s="7" t="n">
        <v>18</v>
      </c>
      <c r="B33" s="8" t="inlineStr">
        <is>
          <t>Defective Mobile Phone</t>
        </is>
      </c>
      <c r="C33" s="9" t="n">
        <v>15</v>
      </c>
      <c r="D33" s="9" t="n">
        <v>0</v>
      </c>
      <c r="E33" s="9" t="n">
        <v>8</v>
      </c>
      <c r="F33" s="9">
        <f>IFERROR(MIN(C33,D33)*E33/C33,0)</f>
        <v/>
      </c>
      <c r="G33" s="9" t="n"/>
    </row>
    <row r="34" ht="14.15" customHeight="1">
      <c r="A34" s="7" t="n">
        <v>19</v>
      </c>
      <c r="B34" s="8" t="inlineStr">
        <is>
          <t>New Mobile Phone</t>
        </is>
      </c>
      <c r="C34" s="9" t="n">
        <v>10</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10</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6</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5</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5</v>
      </c>
      <c r="F26" s="9">
        <f>IFERROR(MIN(C26,D26)*E26/C26,0)</f>
        <v/>
      </c>
      <c r="G26" s="9" t="n"/>
    </row>
    <row r="27" ht="14.15" customHeight="1">
      <c r="A27" s="7" t="n">
        <v>12</v>
      </c>
      <c r="B27" s="8" t="inlineStr">
        <is>
          <t>Temperature Sensor Thermocouple</t>
        </is>
      </c>
      <c r="C27" s="9" t="n">
        <v>10</v>
      </c>
      <c r="D27" s="9" t="n">
        <v>0</v>
      </c>
      <c r="E27" s="9" t="n">
        <v>5</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3</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4</v>
      </c>
      <c r="F36" s="9">
        <f>IFERROR(MIN(C36,D36)*E36/C36,0)</f>
        <v/>
      </c>
      <c r="G36" s="9" t="n"/>
    </row>
    <row r="37" ht="14.15" customHeight="1">
      <c r="A37" s="7" t="n">
        <v>22</v>
      </c>
      <c r="B37" s="8" t="inlineStr">
        <is>
          <t>Three phase induction motor</t>
        </is>
      </c>
      <c r="C37" s="9" t="n">
        <v>10</v>
      </c>
      <c r="D37" s="9" t="n">
        <v>0</v>
      </c>
      <c r="E37" s="9" t="n">
        <v>8</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8</v>
      </c>
      <c r="F39" s="9">
        <f>IFERROR(MIN(C39,D39)*E39/C39,0)</f>
        <v/>
      </c>
      <c r="G39" s="9" t="n"/>
    </row>
    <row r="40" ht="14.15" customHeight="1">
      <c r="A40" s="7" t="n">
        <v>25</v>
      </c>
      <c r="B40" s="8" t="inlineStr">
        <is>
          <t>Power supply</t>
        </is>
      </c>
      <c r="C40" s="9" t="n">
        <v>10</v>
      </c>
      <c r="D40" s="9" t="n">
        <v>0</v>
      </c>
      <c r="E40" s="9" t="n">
        <v>6</v>
      </c>
      <c r="F40" s="9">
        <f>IFERROR(MIN(C40,D40)*E40/C40,0)</f>
        <v/>
      </c>
      <c r="G40" s="9" t="n"/>
    </row>
    <row r="41" ht="14.15" customHeight="1">
      <c r="A41" s="7" t="n">
        <v>26</v>
      </c>
      <c r="B41" s="8" t="inlineStr">
        <is>
          <t>Automatic voltage stabilizer</t>
        </is>
      </c>
      <c r="C41" s="9" t="n">
        <v>1</v>
      </c>
      <c r="D41" s="9" t="n">
        <v>0</v>
      </c>
      <c r="E41" s="9" t="n">
        <v>4</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4</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10</v>
      </c>
      <c r="D18" s="9" t="n">
        <v>0</v>
      </c>
      <c r="E18" s="9" t="n">
        <v>10</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6</v>
      </c>
      <c r="F20" s="9">
        <f>IFERROR(MIN(C20,D20)*E20/C20,0)</f>
        <v/>
      </c>
      <c r="G20" s="9" t="n"/>
    </row>
    <row r="21" ht="14.15" customHeight="1">
      <c r="A21" s="7" t="n">
        <v>6</v>
      </c>
      <c r="B21" s="8" t="inlineStr">
        <is>
          <t>Blender Machine</t>
        </is>
      </c>
      <c r="C21" s="9" t="n">
        <v>3</v>
      </c>
      <c r="D21" s="9" t="n">
        <v>0</v>
      </c>
      <c r="E21" s="9" t="n">
        <v>5</v>
      </c>
      <c r="F21" s="9">
        <f>IFERROR(MIN(C21,D21)*E21/C21,0)</f>
        <v/>
      </c>
      <c r="G21" s="9" t="n"/>
    </row>
    <row r="22" ht="14.15" customHeight="1">
      <c r="A22" s="7" t="n">
        <v>7</v>
      </c>
      <c r="B22" s="8" t="inlineStr">
        <is>
          <t>Refrigerator (200-300 L)</t>
        </is>
      </c>
      <c r="C22" s="9" t="n">
        <v>1</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1</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5</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4</v>
      </c>
      <c r="F28" s="9">
        <f>IFERROR(MIN(C28,D28)*E28/C28,0)</f>
        <v/>
      </c>
      <c r="G28" s="9" t="n"/>
    </row>
    <row r="29" ht="14.15" customHeight="1">
      <c r="A29" s="7" t="n">
        <v>14</v>
      </c>
      <c r="B29" s="8" t="inlineStr">
        <is>
          <t>Table with Sink</t>
        </is>
      </c>
      <c r="C29" s="9" t="n">
        <v>2</v>
      </c>
      <c r="D29" s="9" t="n">
        <v>0</v>
      </c>
      <c r="E29" s="9" t="n">
        <v>4</v>
      </c>
      <c r="F29" s="9">
        <f>IFERROR(MIN(C29,D29)*E29/C29,0)</f>
        <v/>
      </c>
      <c r="G29" s="9" t="n"/>
    </row>
    <row r="30" ht="14.15" customHeight="1">
      <c r="A30" s="7" t="n">
        <v>15</v>
      </c>
      <c r="B30" s="8" t="inlineStr">
        <is>
          <t>Hand wash Sink</t>
        </is>
      </c>
      <c r="C30" s="9" t="n">
        <v>1</v>
      </c>
      <c r="D30" s="9" t="n">
        <v>0</v>
      </c>
      <c r="E30" s="9" t="n">
        <v>4</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3</v>
      </c>
      <c r="F33" s="9">
        <f>IFERROR(MIN(C33,D33)*E33/C33,0)</f>
        <v/>
      </c>
      <c r="G33" s="9" t="n"/>
    </row>
    <row r="34" ht="14.15" customHeight="1">
      <c r="A34" s="7" t="n">
        <v>19</v>
      </c>
      <c r="B34" s="8" t="inlineStr">
        <is>
          <t>Weighing Scale (Preferred capacity 1 kg)</t>
        </is>
      </c>
      <c r="C34" s="9" t="n">
        <v>2</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7" t="n">
        <v>6</v>
      </c>
      <c r="B21" s="8" t="inlineStr">
        <is>
          <t>Samples of different embellishments defect (prints, embroidery)</t>
        </is>
      </c>
      <c r="C21" s="9" t="n">
        <v>20</v>
      </c>
      <c r="D21" s="9" t="n">
        <v>0</v>
      </c>
      <c r="E21" s="9" t="n">
        <v>4</v>
      </c>
      <c r="F21" s="9">
        <f>IFERROR(MIN(C21,D21)*E21/C21,0)</f>
        <v/>
      </c>
      <c r="G21" s="9" t="n"/>
    </row>
    <row r="22" ht="14.15" customHeight="1">
      <c r="A22" s="7" t="n">
        <v>7</v>
      </c>
      <c r="B22" s="8" t="inlineStr">
        <is>
          <t>Samples of garment defects</t>
        </is>
      </c>
      <c r="C22" s="9" t="n">
        <v>20</v>
      </c>
      <c r="D22" s="9" t="n">
        <v>0</v>
      </c>
      <c r="E22" s="9" t="n">
        <v>4</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8</v>
      </c>
      <c r="F26" s="9">
        <f>IFERROR(MIN(C26,D26)*E26/C26,0)</f>
        <v/>
      </c>
      <c r="G26" s="9" t="n"/>
    </row>
    <row r="27" ht="14.15" customHeight="1">
      <c r="A27" s="7" t="n">
        <v>12</v>
      </c>
      <c r="B27" s="8" t="inlineStr">
        <is>
          <t>Pilling testers for fabric surface quality evaluation</t>
        </is>
      </c>
      <c r="C27" s="9" t="n">
        <v>1</v>
      </c>
      <c r="D27" s="9" t="n">
        <v>0</v>
      </c>
      <c r="E27" s="9" t="n">
        <v>7</v>
      </c>
      <c r="F27" s="9">
        <f>IFERROR(MIN(C27,D27)*E27/C27,0)</f>
        <v/>
      </c>
      <c r="G27" s="9" t="n"/>
    </row>
    <row r="28" ht="14.15" customHeight="1">
      <c r="A28" s="7" t="n">
        <v>13</v>
      </c>
      <c r="B28" s="8" t="inlineStr">
        <is>
          <t>Abrasion testers for wear and tear simulation</t>
        </is>
      </c>
      <c r="C28" s="9" t="n">
        <v>1</v>
      </c>
      <c r="D28" s="9" t="n">
        <v>0</v>
      </c>
      <c r="E28" s="9" t="n">
        <v>7</v>
      </c>
      <c r="F28" s="9">
        <f>IFERROR(MIN(C28,D28)*E28/C28,0)</f>
        <v/>
      </c>
      <c r="G28" s="9" t="n"/>
    </row>
    <row r="29" ht="14.15" customHeight="1">
      <c r="A29" s="7" t="n">
        <v>14</v>
      </c>
      <c r="B29" s="8" t="inlineStr">
        <is>
          <t>Colour fastness testers for colour durability assessment</t>
        </is>
      </c>
      <c r="C29" s="9" t="n">
        <v>1</v>
      </c>
      <c r="D29" s="9" t="n">
        <v>0</v>
      </c>
      <c r="E29" s="9" t="n">
        <v>7</v>
      </c>
      <c r="F29" s="9">
        <f>IFERROR(MIN(C29,D29)*E29/C29,0)</f>
        <v/>
      </c>
      <c r="G29" s="9" t="n"/>
    </row>
    <row r="30" ht="14.15" customHeight="1">
      <c r="A30" s="7" t="n">
        <v>15</v>
      </c>
      <c r="B30" s="8" t="inlineStr">
        <is>
          <t>Gray scale</t>
        </is>
      </c>
      <c r="C30" s="9" t="n">
        <v>6</v>
      </c>
      <c r="D30" s="9" t="n">
        <v>0</v>
      </c>
      <c r="E30" s="9" t="n">
        <v>4</v>
      </c>
      <c r="F30" s="9">
        <f>IFERROR(MIN(C30,D30)*E30/C30,0)</f>
        <v/>
      </c>
      <c r="G30" s="9" t="n"/>
    </row>
    <row r="31" ht="14.15" customHeight="1">
      <c r="A31" s="7" t="n">
        <v>16</v>
      </c>
      <c r="B31" s="8" t="inlineStr">
        <is>
          <t>Measurement tape</t>
        </is>
      </c>
      <c r="C31" s="9" t="n">
        <v>26</v>
      </c>
      <c r="D31" s="9" t="n">
        <v>0</v>
      </c>
      <c r="E31" s="9" t="n">
        <v>3</v>
      </c>
      <c r="F31" s="9">
        <f>IFERROR(MIN(C31,D31)*E31/C31,0)</f>
        <v/>
      </c>
      <c r="G31" s="9" t="n"/>
    </row>
    <row r="32" ht="14.15" customHeight="1">
      <c r="A32" s="7" t="n">
        <v>17</v>
      </c>
      <c r="B32" s="8" t="inlineStr">
        <is>
          <t>Light Box</t>
        </is>
      </c>
      <c r="C32" s="9" t="n">
        <v>1</v>
      </c>
      <c r="D32" s="9" t="n">
        <v>0</v>
      </c>
      <c r="E32" s="9" t="n">
        <v>5</v>
      </c>
      <c r="F32" s="9">
        <f>IFERROR(MIN(C32,D32)*E32/C32,0)</f>
        <v/>
      </c>
      <c r="G32" s="9" t="n"/>
    </row>
    <row r="33" ht="14.15" customHeight="1">
      <c r="A33" s="7" t="n">
        <v>18</v>
      </c>
      <c r="B33" s="8" t="inlineStr">
        <is>
          <t>GSM Cutter</t>
        </is>
      </c>
      <c r="C33" s="9" t="n">
        <v>2</v>
      </c>
      <c r="D33" s="9" t="n">
        <v>0</v>
      </c>
      <c r="E33" s="9" t="n">
        <v>5</v>
      </c>
      <c r="F33" s="9">
        <f>IFERROR(MIN(C33,D33)*E33/C33,0)</f>
        <v/>
      </c>
      <c r="G33" s="9" t="n"/>
    </row>
    <row r="34" ht="14.15" customHeight="1">
      <c r="A34" s="7" t="n">
        <v>19</v>
      </c>
      <c r="B34" s="8" t="inlineStr">
        <is>
          <t>Button Pull Test Machine</t>
        </is>
      </c>
      <c r="C34" s="9" t="n">
        <v>1</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8</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4</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4</v>
      </c>
      <c r="F26" s="9">
        <f>IFERROR(MIN(C26,D26)*E26/C26,0)</f>
        <v/>
      </c>
      <c r="G26" s="9" t="n"/>
    </row>
    <row r="27" ht="14.15" customHeight="1">
      <c r="A27" s="7" t="n">
        <v>12</v>
      </c>
      <c r="B27" s="8" t="inlineStr">
        <is>
          <t>Measuring tape (steel)</t>
        </is>
      </c>
      <c r="C27" s="9" t="n">
        <v>25</v>
      </c>
      <c r="D27" s="9" t="n">
        <v>0</v>
      </c>
      <c r="E27" s="9" t="n">
        <v>3</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Arc Welding Machine</t>
        </is>
      </c>
      <c r="C16" s="9" t="n">
        <v>5</v>
      </c>
      <c r="D16" s="9" t="n">
        <v>0</v>
      </c>
      <c r="E16" s="9" t="n">
        <v>9</v>
      </c>
      <c r="F16" s="9">
        <f>IFERROR(MIN(C16,D16)*E16/C16,0)</f>
        <v/>
      </c>
      <c r="G16" s="9" t="n"/>
    </row>
    <row r="17" ht="14.15" customHeight="1">
      <c r="A17" s="7" t="n">
        <v>2</v>
      </c>
      <c r="B17" s="8" t="inlineStr">
        <is>
          <t>Grinding machine</t>
        </is>
      </c>
      <c r="C17" s="9" t="n">
        <v>10</v>
      </c>
      <c r="D17" s="9" t="n">
        <v>0</v>
      </c>
      <c r="E17" s="9" t="n">
        <v>6</v>
      </c>
      <c r="F17" s="9">
        <f>IFERROR(MIN(C17,D17)*E17/C17,0)</f>
        <v/>
      </c>
      <c r="G17" s="9" t="n"/>
    </row>
    <row r="18" ht="14.15" customHeight="1">
      <c r="A18" s="7" t="n">
        <v>3</v>
      </c>
      <c r="B18" s="8" t="inlineStr">
        <is>
          <t>Pipe Bending Machine</t>
        </is>
      </c>
      <c r="C18" s="9" t="n">
        <v>1</v>
      </c>
      <c r="D18" s="9" t="n">
        <v>0</v>
      </c>
      <c r="E18" s="9" t="n">
        <v>8</v>
      </c>
      <c r="F18" s="9">
        <f>IFERROR(MIN(C18,D18)*E18/C18,0)</f>
        <v/>
      </c>
      <c r="G18" s="9" t="n"/>
    </row>
    <row r="19" ht="14.15" customHeight="1">
      <c r="A19" s="7" t="n">
        <v>4</v>
      </c>
      <c r="B19" s="8" t="inlineStr">
        <is>
          <t>Fresh Water Piping System</t>
        </is>
      </c>
      <c r="C19" s="9" t="n">
        <v>1</v>
      </c>
      <c r="D19" s="9" t="n">
        <v>0</v>
      </c>
      <c r="E19" s="9" t="n">
        <v>9</v>
      </c>
      <c r="F19" s="9">
        <f>IFERROR(MIN(C19,D19)*E19/C19,0)</f>
        <v/>
      </c>
      <c r="G19" s="9" t="n"/>
    </row>
    <row r="20" ht="14.15" customHeight="1">
      <c r="A20" s="7" t="n">
        <v>5</v>
      </c>
      <c r="B20" s="8" t="inlineStr">
        <is>
          <t>Sea Water Piping System</t>
        </is>
      </c>
      <c r="C20" s="9" t="n">
        <v>1</v>
      </c>
      <c r="D20" s="9" t="n">
        <v>0</v>
      </c>
      <c r="E20" s="9" t="n">
        <v>9</v>
      </c>
      <c r="F20" s="9">
        <f>IFERROR(MIN(C20,D20)*E20/C20,0)</f>
        <v/>
      </c>
      <c r="G20" s="9" t="n"/>
    </row>
    <row r="21" ht="14.15" customHeight="1">
      <c r="A21" s="7" t="n">
        <v>6</v>
      </c>
      <c r="B21" s="8" t="inlineStr">
        <is>
          <t>Fuel Piping System</t>
        </is>
      </c>
      <c r="C21" s="9" t="n">
        <v>1</v>
      </c>
      <c r="D21" s="9" t="n">
        <v>0</v>
      </c>
      <c r="E21" s="9" t="n">
        <v>9</v>
      </c>
      <c r="F21" s="9">
        <f>IFERROR(MIN(C21,D21)*E21/C21,0)</f>
        <v/>
      </c>
      <c r="G21" s="9" t="n"/>
    </row>
    <row r="22" ht="14.15" customHeight="1">
      <c r="A22" s="7" t="n">
        <v>7</v>
      </c>
      <c r="B22" s="8" t="inlineStr">
        <is>
          <t>Hydraulic Piping System</t>
        </is>
      </c>
      <c r="C22" s="9" t="n">
        <v>1</v>
      </c>
      <c r="D22" s="9" t="n">
        <v>0</v>
      </c>
      <c r="E22" s="9" t="n">
        <v>9</v>
      </c>
      <c r="F22" s="9">
        <f>IFERROR(MIN(C22,D22)*E22/C22,0)</f>
        <v/>
      </c>
      <c r="G22" s="9" t="n"/>
    </row>
    <row r="23" ht="14.15" customHeight="1">
      <c r="A23" s="7" t="n">
        <v>8</v>
      </c>
      <c r="B23" s="8" t="inlineStr">
        <is>
          <t>Valves (gate valve, SDNR valve, check valve, ball valve)</t>
        </is>
      </c>
      <c r="C23" s="9" t="n">
        <v>5</v>
      </c>
      <c r="D23" s="9" t="n">
        <v>0</v>
      </c>
      <c r="E23" s="9" t="n">
        <v>7</v>
      </c>
      <c r="F23" s="9">
        <f>IFERROR(MIN(C23,D23)*E23/C23,0)</f>
        <v/>
      </c>
      <c r="G23" s="9" t="inlineStr">
        <is>
          <t>05 sets each</t>
        </is>
      </c>
    </row>
    <row r="24" ht="14.15" customHeight="1">
      <c r="A24" s="7" t="n">
        <v>9</v>
      </c>
      <c r="B24" s="8" t="inlineStr">
        <is>
          <t>Minimum fittings (union, tee, socket, elbow, nipple)</t>
        </is>
      </c>
      <c r="C24" s="9" t="n">
        <v>5</v>
      </c>
      <c r="D24" s="9" t="n">
        <v>0</v>
      </c>
      <c r="E24" s="9" t="n">
        <v>4</v>
      </c>
      <c r="F24" s="9">
        <f>IFERROR(MIN(C24,D24)*E24/C24,0)</f>
        <v/>
      </c>
      <c r="G24" s="9" t="inlineStr">
        <is>
          <t>05 sets each</t>
        </is>
      </c>
    </row>
    <row r="25" ht="14.15" customHeight="1">
      <c r="A25" s="7" t="n">
        <v>10</v>
      </c>
      <c r="B25" s="8" t="inlineStr">
        <is>
          <t>Pumps (centrifugal, gear)</t>
        </is>
      </c>
      <c r="C25" s="9" t="n">
        <v>5</v>
      </c>
      <c r="D25" s="9" t="n">
        <v>0</v>
      </c>
      <c r="E25" s="9" t="n">
        <v>8</v>
      </c>
      <c r="F25" s="9">
        <f>IFERROR(MIN(C25,D25)*E25/C25,0)</f>
        <v/>
      </c>
      <c r="G25" s="9" t="inlineStr">
        <is>
          <t>05 sets each</t>
        </is>
      </c>
    </row>
    <row r="26" ht="14.15" customHeight="1">
      <c r="A26" s="7" t="n">
        <v>11</v>
      </c>
      <c r="B26" s="8" t="inlineStr">
        <is>
          <t>Tool box</t>
        </is>
      </c>
      <c r="C26" s="9" t="n">
        <v>5</v>
      </c>
      <c r="D26" s="9" t="n">
        <v>0</v>
      </c>
      <c r="E26" s="9" t="n">
        <v>3</v>
      </c>
      <c r="F26" s="9">
        <f>IFERROR(MIN(C26,D26)*E26/C26,0)</f>
        <v/>
      </c>
      <c r="G26" s="9" t="inlineStr">
        <is>
          <t>05 sets</t>
        </is>
      </c>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Portable Fire extinguishers (Water Type)</t>
        </is>
      </c>
      <c r="C16" s="9" t="n">
        <v>5</v>
      </c>
      <c r="D16" s="9" t="n">
        <v>0</v>
      </c>
      <c r="E16" s="9" t="n">
        <v>8</v>
      </c>
      <c r="F16" s="9">
        <f>IFERROR(MIN(C16,D16)*E16/C16,0)</f>
        <v/>
      </c>
      <c r="G16" s="9" t="inlineStr">
        <is>
          <t>05 pcs</t>
        </is>
      </c>
    </row>
    <row r="17" ht="14.15" customHeight="1">
      <c r="A17" s="7" t="n">
        <v>2</v>
      </c>
      <c r="B17" s="8" t="inlineStr">
        <is>
          <t>Portable Fire extinguishers (Dry Powder)</t>
        </is>
      </c>
      <c r="C17" s="9" t="n">
        <v>5</v>
      </c>
      <c r="D17" s="9" t="n">
        <v>0</v>
      </c>
      <c r="E17" s="9" t="n">
        <v>8</v>
      </c>
      <c r="F17" s="9">
        <f>IFERROR(MIN(C17,D17)*E17/C17,0)</f>
        <v/>
      </c>
      <c r="G17" s="9" t="inlineStr">
        <is>
          <t>05 pcs</t>
        </is>
      </c>
    </row>
    <row r="18" ht="14.15" customHeight="1">
      <c r="A18" s="7" t="n">
        <v>3</v>
      </c>
      <c r="B18" s="8" t="inlineStr">
        <is>
          <t>Portable Fire extinguishers (Foam Type)</t>
        </is>
      </c>
      <c r="C18" s="9" t="n">
        <v>5</v>
      </c>
      <c r="D18" s="9" t="n">
        <v>0</v>
      </c>
      <c r="E18" s="9" t="n">
        <v>8</v>
      </c>
      <c r="F18" s="9">
        <f>IFERROR(MIN(C18,D18)*E18/C18,0)</f>
        <v/>
      </c>
      <c r="G18" s="9" t="inlineStr">
        <is>
          <t>05 pcs</t>
        </is>
      </c>
    </row>
    <row r="19" ht="14.15" customHeight="1">
      <c r="A19" s="7" t="n">
        <v>4</v>
      </c>
      <c r="B19" s="8" t="inlineStr">
        <is>
          <t>Portable Fire extinguishers (CO2)</t>
        </is>
      </c>
      <c r="C19" s="9" t="n">
        <v>5</v>
      </c>
      <c r="D19" s="9" t="n">
        <v>0</v>
      </c>
      <c r="E19" s="9" t="n">
        <v>8</v>
      </c>
      <c r="F19" s="9">
        <f>IFERROR(MIN(C19,D19)*E19/C19,0)</f>
        <v/>
      </c>
      <c r="G19" s="9" t="inlineStr">
        <is>
          <t>05 pcs</t>
        </is>
      </c>
    </row>
    <row r="20" ht="14.15" customHeight="1">
      <c r="A20" s="7" t="n">
        <v>5</v>
      </c>
      <c r="B20" s="8" t="inlineStr">
        <is>
          <t>Fixed Fire extinguishers System (Sprinkler System)</t>
        </is>
      </c>
      <c r="C20" s="9" t="n">
        <v>1</v>
      </c>
      <c r="D20" s="9" t="n">
        <v>0</v>
      </c>
      <c r="E20" s="9" t="n">
        <v>9</v>
      </c>
      <c r="F20" s="9">
        <f>IFERROR(MIN(C20,D20)*E20/C20,0)</f>
        <v/>
      </c>
      <c r="G20" s="9" t="inlineStr">
        <is>
          <t>01 Set</t>
        </is>
      </c>
    </row>
    <row r="21" ht="14.15" customHeight="1">
      <c r="A21" s="7" t="n">
        <v>6</v>
      </c>
      <c r="B21" s="8" t="inlineStr">
        <is>
          <t>Fixed Fire extinguishers System (CO2)</t>
        </is>
      </c>
      <c r="C21" s="9" t="n">
        <v>2</v>
      </c>
      <c r="D21" s="9" t="n">
        <v>0</v>
      </c>
      <c r="E21" s="9" t="n">
        <v>9</v>
      </c>
      <c r="F21" s="9">
        <f>IFERROR(MIN(C21,D21)*E21/C21,0)</f>
        <v/>
      </c>
      <c r="G21" s="9" t="inlineStr">
        <is>
          <t>02 Set</t>
        </is>
      </c>
    </row>
    <row r="22" ht="14.15" customHeight="1">
      <c r="A22" s="7" t="n">
        <v>7</v>
      </c>
      <c r="B22" s="8" t="inlineStr">
        <is>
          <t>Fire hoses, nozzles, and hydrants</t>
        </is>
      </c>
      <c r="C22" s="9" t="n">
        <v>5</v>
      </c>
      <c r="D22" s="9" t="n">
        <v>0</v>
      </c>
      <c r="E22" s="9" t="n">
        <v>8</v>
      </c>
      <c r="F22" s="9">
        <f>IFERROR(MIN(C22,D22)*E22/C22,0)</f>
        <v/>
      </c>
      <c r="G22" s="9" t="inlineStr">
        <is>
          <t>05 Set</t>
        </is>
      </c>
    </row>
    <row r="23" ht="14.15" customHeight="1">
      <c r="A23" s="7" t="n">
        <v>8</v>
      </c>
      <c r="B23" s="8" t="inlineStr">
        <is>
          <t>Fire blankets</t>
        </is>
      </c>
      <c r="C23" s="9" t="n">
        <v>15</v>
      </c>
      <c r="D23" s="9" t="n">
        <v>0</v>
      </c>
      <c r="E23" s="9" t="n">
        <v>6</v>
      </c>
      <c r="F23" s="9">
        <f>IFERROR(MIN(C23,D23)*E23/C23,0)</f>
        <v/>
      </c>
      <c r="G23" s="9" t="inlineStr">
        <is>
          <t>15 pcs</t>
        </is>
      </c>
    </row>
    <row r="24" ht="14.15" customHeight="1">
      <c r="A24" s="7" t="n">
        <v>9</v>
      </c>
      <c r="B24" s="8" t="inlineStr">
        <is>
          <t>Life jackets</t>
        </is>
      </c>
      <c r="C24" s="9" t="n">
        <v>25</v>
      </c>
      <c r="D24" s="9" t="n">
        <v>0</v>
      </c>
      <c r="E24" s="9" t="n">
        <v>7</v>
      </c>
      <c r="F24" s="9">
        <f>IFERROR(MIN(C24,D24)*E24/C24,0)</f>
        <v/>
      </c>
      <c r="G24" s="9" t="inlineStr">
        <is>
          <t>25 pcs</t>
        </is>
      </c>
    </row>
    <row r="25" ht="14.15" customHeight="1">
      <c r="A25" s="7" t="n">
        <v>10</v>
      </c>
      <c r="B25" s="8" t="inlineStr">
        <is>
          <t>Immersion suits</t>
        </is>
      </c>
      <c r="C25" s="9" t="n">
        <v>2</v>
      </c>
      <c r="D25" s="9" t="n">
        <v>0</v>
      </c>
      <c r="E25" s="9" t="n">
        <v>7</v>
      </c>
      <c r="F25" s="9">
        <f>IFERROR(MIN(C25,D25)*E25/C25,0)</f>
        <v/>
      </c>
      <c r="G25" s="9" t="inlineStr">
        <is>
          <t>02 Set</t>
        </is>
      </c>
    </row>
    <row r="26" ht="14.15" customHeight="1">
      <c r="A26" s="7" t="n">
        <v>11</v>
      </c>
      <c r="B26" s="8" t="inlineStr">
        <is>
          <t>Lifeboats</t>
        </is>
      </c>
      <c r="C26" s="9" t="n">
        <v>1</v>
      </c>
      <c r="D26" s="9" t="n">
        <v>0</v>
      </c>
      <c r="E26" s="9" t="n">
        <v>10</v>
      </c>
      <c r="F26" s="9">
        <f>IFERROR(MIN(C26,D26)*E26/C26,0)</f>
        <v/>
      </c>
      <c r="G26" s="9" t="inlineStr">
        <is>
          <t>01 pcs</t>
        </is>
      </c>
    </row>
    <row r="27" ht="14.15" customHeight="1">
      <c r="A27" s="7" t="n">
        <v>12</v>
      </c>
      <c r="B27" s="8" t="inlineStr">
        <is>
          <t>Life rafts</t>
        </is>
      </c>
      <c r="C27" s="9" t="n">
        <v>1</v>
      </c>
      <c r="D27" s="9" t="n">
        <v>0</v>
      </c>
      <c r="E27" s="9" t="n">
        <v>9</v>
      </c>
      <c r="F27" s="9">
        <f>IFERROR(MIN(C27,D27)*E27/C27,0)</f>
        <v/>
      </c>
      <c r="G27" s="9" t="inlineStr">
        <is>
          <t>01 pcs</t>
        </is>
      </c>
    </row>
    <row r="28" ht="14.15" customHeight="1">
      <c r="A28" s="7"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7" t="n">
        <v>14</v>
      </c>
      <c r="B29" s="8" t="inlineStr">
        <is>
          <t>Lifeboat launching System</t>
        </is>
      </c>
      <c r="C29" s="9" t="n">
        <v>1</v>
      </c>
      <c r="D29" s="9" t="n">
        <v>0</v>
      </c>
      <c r="E29" s="9" t="n">
        <v>9</v>
      </c>
      <c r="F29" s="9">
        <f>IFERROR(MIN(C29,D29)*E29/C29,0)</f>
        <v/>
      </c>
      <c r="G29" s="9" t="inlineStr">
        <is>
          <t>01 Set</t>
        </is>
      </c>
    </row>
    <row r="30" ht="14.15" customHeight="1">
      <c r="A30" s="7" t="n">
        <v>15</v>
      </c>
      <c r="B30" s="8" t="inlineStr">
        <is>
          <t>Life-saving rings and buoys</t>
        </is>
      </c>
      <c r="C30" s="9" t="n">
        <v>10</v>
      </c>
      <c r="D30" s="9" t="n">
        <v>0</v>
      </c>
      <c r="E30" s="9" t="n">
        <v>6</v>
      </c>
      <c r="F30" s="9">
        <f>IFERROR(MIN(C30,D30)*E30/C30,0)</f>
        <v/>
      </c>
      <c r="G30" s="9" t="inlineStr">
        <is>
          <t>10 pcs</t>
        </is>
      </c>
    </row>
    <row r="31" ht="14.15" customHeight="1">
      <c r="A31" s="7" t="n">
        <v>16</v>
      </c>
      <c r="B31" s="8" t="inlineStr">
        <is>
          <t>Fire detection sensors (smoke, heat, flame detectors)</t>
        </is>
      </c>
      <c r="C31" s="9" t="n">
        <v>12</v>
      </c>
      <c r="D31" s="9" t="n">
        <v>0</v>
      </c>
      <c r="E31" s="9" t="n">
        <v>8</v>
      </c>
      <c r="F31" s="9">
        <f>IFERROR(MIN(C31,D31)*E31/C31,0)</f>
        <v/>
      </c>
      <c r="G31" s="9" t="inlineStr">
        <is>
          <t>12 Set</t>
        </is>
      </c>
    </row>
    <row r="32" ht="14.15" customHeight="1">
      <c r="A32" s="7" t="n">
        <v>17</v>
      </c>
      <c r="B32" s="8" t="inlineStr">
        <is>
          <t>Alarm panels</t>
        </is>
      </c>
      <c r="C32" s="9" t="n">
        <v>1</v>
      </c>
      <c r="D32" s="9" t="n">
        <v>0</v>
      </c>
      <c r="E32" s="9" t="n">
        <v>6</v>
      </c>
      <c r="F32" s="9">
        <f>IFERROR(MIN(C32,D32)*E32/C32,0)</f>
        <v/>
      </c>
      <c r="G32" s="9" t="inlineStr">
        <is>
          <t>01 Set</t>
        </is>
      </c>
    </row>
    <row r="33" ht="14.15" customHeight="1">
      <c r="A33" s="7" t="n">
        <v>18</v>
      </c>
      <c r="B33" s="8" t="inlineStr">
        <is>
          <t>Fire alarm system test panels</t>
        </is>
      </c>
      <c r="C33" s="9" t="n">
        <v>1</v>
      </c>
      <c r="D33" s="9" t="n">
        <v>0</v>
      </c>
      <c r="E33" s="9" t="n">
        <v>6</v>
      </c>
      <c r="F33" s="9">
        <f>IFERROR(MIN(C33,D33)*E33/C33,0)</f>
        <v/>
      </c>
      <c r="G33" s="9" t="inlineStr">
        <is>
          <t>01 Set</t>
        </is>
      </c>
    </row>
    <row r="34" ht="14.15" customHeight="1">
      <c r="A34" s="7" t="n">
        <v>19</v>
      </c>
      <c r="B34" s="8" t="inlineStr">
        <is>
          <t>Manual call points</t>
        </is>
      </c>
      <c r="C34" s="9" t="n">
        <v>6</v>
      </c>
      <c r="D34" s="9" t="n">
        <v>0</v>
      </c>
      <c r="E34" s="9" t="n">
        <v>4</v>
      </c>
      <c r="F34" s="9">
        <f>IFERROR(MIN(C34,D34)*E34/C34,0)</f>
        <v/>
      </c>
      <c r="G34" s="9" t="inlineStr">
        <is>
          <t>06 Set</t>
        </is>
      </c>
    </row>
    <row r="35" ht="14.15" customHeight="1">
      <c r="A35" s="7" t="n">
        <v>20</v>
      </c>
      <c r="B35" s="8" t="inlineStr">
        <is>
          <t>Fireman’s outfit</t>
        </is>
      </c>
      <c r="C35" s="9" t="n">
        <v>2</v>
      </c>
      <c r="D35" s="9" t="n">
        <v>0</v>
      </c>
      <c r="E35" s="9" t="n">
        <v>7</v>
      </c>
      <c r="F35" s="9">
        <f>IFERROR(MIN(C35,D35)*E35/C35,0)</f>
        <v/>
      </c>
      <c r="G35" s="9" t="inlineStr">
        <is>
          <t>02Set</t>
        </is>
      </c>
    </row>
    <row r="36" ht="14.15" customHeight="1">
      <c r="A36" s="7" t="n">
        <v>21</v>
      </c>
      <c r="B36" s="8" t="inlineStr">
        <is>
          <t>First Aid Box</t>
        </is>
      </c>
      <c r="C36" s="9" t="n">
        <v>3</v>
      </c>
      <c r="D36" s="9" t="n">
        <v>0</v>
      </c>
      <c r="E36" s="9" t="n">
        <v>4</v>
      </c>
      <c r="F36" s="9">
        <f>IFERROR(MIN(C36,D36)*E36/C36,0)</f>
        <v/>
      </c>
      <c r="G36" s="9" t="inlineStr">
        <is>
          <t>03 Set</t>
        </is>
      </c>
    </row>
    <row r="37" ht="14.15" customHeight="1">
      <c r="A37" s="7" t="n">
        <v>22</v>
      </c>
      <c r="B37" s="8" t="inlineStr">
        <is>
          <t>International shore connection</t>
        </is>
      </c>
      <c r="C37" s="9" t="n">
        <v>1</v>
      </c>
      <c r="D37" s="9" t="n">
        <v>0</v>
      </c>
      <c r="E37" s="9" t="n">
        <v>6</v>
      </c>
      <c r="F37" s="9">
        <f>IFERROR(MIN(C37,D37)*E37/C37,0)</f>
        <v/>
      </c>
      <c r="G37" s="9" t="inlineStr">
        <is>
          <t>01 set</t>
        </is>
      </c>
    </row>
    <row r="38">
      <c r="A38" s="10" t="inlineStr">
        <is>
          <t>Sum</t>
        </is>
      </c>
      <c r="B38" s="11" t="n"/>
      <c r="C38" s="11" t="n"/>
      <c r="D38" s="12" t="n"/>
      <c r="E38" s="10">
        <f>SUM(E16:E37)</f>
        <v/>
      </c>
      <c r="F38" s="10">
        <f>SUM(F16:F37)</f>
        <v/>
      </c>
      <c r="G38" s="13" t="n"/>
    </row>
    <row r="39">
      <c r="A39" s="10" t="inlineStr">
        <is>
          <t>Score out of 100</t>
        </is>
      </c>
      <c r="B39" s="11" t="n"/>
      <c r="C39" s="11" t="n"/>
      <c r="D39" s="11" t="n"/>
      <c r="E39" s="12" t="n"/>
      <c r="F39" s="10">
        <f>F38/E38*100</f>
        <v/>
      </c>
      <c r="G39" s="13" t="n"/>
    </row>
    <row r="40" ht="9.75" customHeight="1"/>
    <row r="41">
      <c r="A41" s="10" t="inlineStr">
        <is>
          <t xml:space="preserve">Total achieved points out of 30  </t>
        </is>
      </c>
      <c r="B41" s="11" t="n"/>
      <c r="C41" s="11" t="n"/>
      <c r="D41" s="11" t="n"/>
      <c r="E41" s="12" t="n"/>
      <c r="F41" s="10">
        <f>F39*30/100</f>
        <v/>
      </c>
      <c r="G41" s="10"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Transformer (100KVA)-11kV/0.4kV</t>
        </is>
      </c>
      <c r="C18" s="9" t="n">
        <v>1</v>
      </c>
      <c r="D18" s="9" t="n">
        <v>0</v>
      </c>
      <c r="E18" s="9" t="n">
        <v>10</v>
      </c>
      <c r="F18" s="9">
        <f>IFERROR(MIN(C18,D18)*E18/C18,0)</f>
        <v/>
      </c>
      <c r="G18" s="9" t="n"/>
    </row>
    <row r="19" ht="14.15" customHeight="1">
      <c r="A19" s="7" t="n">
        <v>4</v>
      </c>
      <c r="B19" s="8" t="inlineStr">
        <is>
          <t>Transformer coil winding machine</t>
        </is>
      </c>
      <c r="C19" s="9" t="n">
        <v>2</v>
      </c>
      <c r="D19" s="9" t="n">
        <v>0</v>
      </c>
      <c r="E19" s="9" t="n">
        <v>8</v>
      </c>
      <c r="F19" s="9">
        <f>IFERROR(MIN(C19,D19)*E19/C19,0)</f>
        <v/>
      </c>
      <c r="G19" s="9" t="n"/>
    </row>
    <row r="20" ht="14.15" customHeight="1">
      <c r="A20" s="7" t="n">
        <v>5</v>
      </c>
      <c r="B20" s="8" t="inlineStr">
        <is>
          <t>Transformer core cutting machine</t>
        </is>
      </c>
      <c r="C20" s="9" t="n">
        <v>2</v>
      </c>
      <c r="D20" s="9" t="n">
        <v>0</v>
      </c>
      <c r="E20" s="9" t="n">
        <v>8</v>
      </c>
      <c r="F20" s="9">
        <f>IFERROR(MIN(C20,D20)*E20/C20,0)</f>
        <v/>
      </c>
      <c r="G20" s="9" t="n"/>
    </row>
    <row r="21" ht="14.15" customHeight="1">
      <c r="A21" s="7" t="n">
        <v>6</v>
      </c>
      <c r="B21" s="8" t="inlineStr">
        <is>
          <t>Main Distribution Board with busbar, CB and other accessories (Training model)</t>
        </is>
      </c>
      <c r="C21" s="9" t="n">
        <v>2</v>
      </c>
      <c r="D21" s="9" t="n">
        <v>0</v>
      </c>
      <c r="E21" s="9" t="n">
        <v>8</v>
      </c>
      <c r="F21" s="9">
        <f>IFERROR(MIN(C21,D21)*E21/C21,0)</f>
        <v/>
      </c>
      <c r="G21" s="9" t="n"/>
    </row>
    <row r="22" ht="14.15" customHeight="1">
      <c r="A22" s="7" t="n">
        <v>7</v>
      </c>
      <c r="B22" s="8" t="inlineStr">
        <is>
          <t>Sub Distribution Board with busbar, CB and other accessories (Training model)</t>
        </is>
      </c>
      <c r="C22" s="9" t="n">
        <v>2</v>
      </c>
      <c r="D22" s="9" t="n">
        <v>0</v>
      </c>
      <c r="E22" s="9" t="n">
        <v>8</v>
      </c>
      <c r="F22" s="9">
        <f>IFERROR(MIN(C22,D22)*E22/C22,0)</f>
        <v/>
      </c>
      <c r="G22" s="9" t="n"/>
    </row>
    <row r="23" ht="14.15" customHeight="1">
      <c r="A23" s="7" t="n">
        <v>8</v>
      </c>
      <c r="B23" s="8" t="inlineStr">
        <is>
          <t>HT switchgear panel</t>
        </is>
      </c>
      <c r="C23" s="9" t="n">
        <v>1</v>
      </c>
      <c r="D23" s="9" t="n">
        <v>0</v>
      </c>
      <c r="E23" s="9" t="n">
        <v>9</v>
      </c>
      <c r="F23" s="9">
        <f>IFERROR(MIN(C23,D23)*E23/C23,0)</f>
        <v/>
      </c>
      <c r="G23" s="9" t="n"/>
    </row>
    <row r="24" ht="14.15" customHeight="1">
      <c r="A24" s="7" t="n">
        <v>9</v>
      </c>
      <c r="B24" s="8" t="inlineStr">
        <is>
          <t>LT switchgear panel</t>
        </is>
      </c>
      <c r="C24" s="9" t="n">
        <v>1</v>
      </c>
      <c r="D24" s="9" t="n">
        <v>0</v>
      </c>
      <c r="E24" s="9" t="n">
        <v>9</v>
      </c>
      <c r="F24" s="9">
        <f>IFERROR(MIN(C24,D24)*E24/C24,0)</f>
        <v/>
      </c>
      <c r="G24" s="9" t="n"/>
    </row>
    <row r="25" ht="14.15" customHeight="1">
      <c r="A25" s="7" t="n">
        <v>10</v>
      </c>
      <c r="B25" s="8" t="inlineStr">
        <is>
          <t>PFI panel</t>
        </is>
      </c>
      <c r="C25" s="9" t="n">
        <v>1</v>
      </c>
      <c r="D25" s="9" t="n">
        <v>0</v>
      </c>
      <c r="E25" s="9" t="n">
        <v>7</v>
      </c>
      <c r="F25" s="9">
        <f>IFERROR(MIN(C25,D25)*E25/C25,0)</f>
        <v/>
      </c>
      <c r="G25" s="9" t="n"/>
    </row>
    <row r="26" ht="14.15" customHeight="1">
      <c r="A26" s="7" t="n">
        <v>11</v>
      </c>
      <c r="B26" s="8" t="inlineStr">
        <is>
          <t>Magnetic contactor (coil voltage 220V and 400V)</t>
        </is>
      </c>
      <c r="C26" s="9" t="n">
        <v>10</v>
      </c>
      <c r="D26" s="9" t="n">
        <v>0</v>
      </c>
      <c r="E26" s="9" t="n">
        <v>6</v>
      </c>
      <c r="F26" s="9">
        <f>IFERROR(MIN(C26,D26)*E26/C26,0)</f>
        <v/>
      </c>
      <c r="G26" s="9" t="n"/>
    </row>
    <row r="27" ht="14.15" customHeight="1">
      <c r="A27" s="7" t="n">
        <v>12</v>
      </c>
      <c r="B27" s="8" t="inlineStr">
        <is>
          <t>Relay</t>
        </is>
      </c>
      <c r="C27" s="9" t="n">
        <v>5</v>
      </c>
      <c r="D27" s="9" t="n">
        <v>0</v>
      </c>
      <c r="E27" s="9" t="n">
        <v>5</v>
      </c>
      <c r="F27" s="9">
        <f>IFERROR(MIN(C27,D27)*E27/C27,0)</f>
        <v/>
      </c>
      <c r="G27" s="9" t="n"/>
    </row>
    <row r="28" ht="14.15" customHeight="1">
      <c r="A28" s="7" t="n">
        <v>13</v>
      </c>
      <c r="B28" s="8" t="inlineStr">
        <is>
          <t>Timer</t>
        </is>
      </c>
      <c r="C28" s="9" t="n">
        <v>5</v>
      </c>
      <c r="D28" s="9" t="n">
        <v>0</v>
      </c>
      <c r="E28" s="9" t="n">
        <v>4</v>
      </c>
      <c r="F28" s="9">
        <f>IFERROR(MIN(C28,D28)*E28/C28,0)</f>
        <v/>
      </c>
      <c r="G28" s="9" t="n"/>
    </row>
    <row r="29" ht="14.15" customHeight="1">
      <c r="A29" s="7" t="n">
        <v>14</v>
      </c>
      <c r="B29" s="8" t="inlineStr">
        <is>
          <t>Pilot lamp</t>
        </is>
      </c>
      <c r="C29" s="9" t="n">
        <v>6</v>
      </c>
      <c r="D29" s="9" t="n">
        <v>0</v>
      </c>
      <c r="E29" s="9" t="n">
        <v>3</v>
      </c>
      <c r="F29" s="9">
        <f>IFERROR(MIN(C29,D29)*E29/C29,0)</f>
        <v/>
      </c>
      <c r="G29" s="9" t="n"/>
    </row>
    <row r="30" ht="14.15" customHeight="1">
      <c r="A30" s="7" t="n">
        <v>15</v>
      </c>
      <c r="B30" s="8" t="inlineStr">
        <is>
          <t>Push switch</t>
        </is>
      </c>
      <c r="C30" s="9" t="n">
        <v>6</v>
      </c>
      <c r="D30" s="9" t="n">
        <v>0</v>
      </c>
      <c r="E30" s="9" t="n">
        <v>3</v>
      </c>
      <c r="F30" s="9">
        <f>IFERROR(MIN(C30,D30)*E30/C30,0)</f>
        <v/>
      </c>
      <c r="G30" s="9" t="n"/>
    </row>
    <row r="31" ht="14.15" customHeight="1">
      <c r="A31" s="7" t="n">
        <v>16</v>
      </c>
      <c r="B31" s="8" t="inlineStr">
        <is>
          <t>IDMT relay</t>
        </is>
      </c>
      <c r="C31" s="9" t="n">
        <v>2</v>
      </c>
      <c r="D31" s="9" t="n">
        <v>0</v>
      </c>
      <c r="E31" s="9" t="n">
        <v>6</v>
      </c>
      <c r="F31" s="9">
        <f>IFERROR(MIN(C31,D31)*E31/C31,0)</f>
        <v/>
      </c>
      <c r="G31" s="9" t="n"/>
    </row>
    <row r="32" ht="14.15" customHeight="1">
      <c r="A32" s="7" t="n">
        <v>17</v>
      </c>
      <c r="B32" s="8" t="inlineStr">
        <is>
          <t>Omron relay</t>
        </is>
      </c>
      <c r="C32" s="9" t="n">
        <v>2</v>
      </c>
      <c r="D32" s="9" t="n">
        <v>0</v>
      </c>
      <c r="E32" s="9" t="n">
        <v>5</v>
      </c>
      <c r="F32" s="9">
        <f>IFERROR(MIN(C32,D32)*E32/C32,0)</f>
        <v/>
      </c>
      <c r="G32" s="9" t="n"/>
    </row>
    <row r="33" ht="14.15" customHeight="1">
      <c r="A33" s="7" t="n">
        <v>18</v>
      </c>
      <c r="B33" s="8" t="inlineStr">
        <is>
          <t>Phase sequence relay</t>
        </is>
      </c>
      <c r="C33" s="9" t="n">
        <v>2</v>
      </c>
      <c r="D33" s="9" t="n">
        <v>0</v>
      </c>
      <c r="E33" s="9" t="n">
        <v>5</v>
      </c>
      <c r="F33" s="9">
        <f>IFERROR(MIN(C33,D33)*E33/C33,0)</f>
        <v/>
      </c>
      <c r="G33" s="9" t="n"/>
    </row>
    <row r="34" ht="14.15" customHeight="1">
      <c r="A34" s="7" t="n">
        <v>19</v>
      </c>
      <c r="B34" s="8" t="inlineStr">
        <is>
          <t>Electric drill machine</t>
        </is>
      </c>
      <c r="C34" s="9" t="n">
        <v>2</v>
      </c>
      <c r="D34" s="9" t="n">
        <v>0</v>
      </c>
      <c r="E34" s="9" t="n">
        <v>5</v>
      </c>
      <c r="F34" s="9">
        <f>IFERROR(MIN(C34,D34)*E34/C34,0)</f>
        <v/>
      </c>
      <c r="G34" s="9" t="n"/>
    </row>
    <row r="35" ht="14.15" customHeight="1">
      <c r="A35" s="7" t="n">
        <v>20</v>
      </c>
      <c r="B35" s="8" t="inlineStr">
        <is>
          <t>Electric grinding machine</t>
        </is>
      </c>
      <c r="C35" s="9" t="n">
        <v>2</v>
      </c>
      <c r="D35" s="9" t="n">
        <v>0</v>
      </c>
      <c r="E35" s="9" t="n">
        <v>5</v>
      </c>
      <c r="F35" s="9">
        <f>IFERROR(MIN(C35,D35)*E35/C35,0)</f>
        <v/>
      </c>
      <c r="G35" s="9" t="n"/>
    </row>
    <row r="36" ht="14.15" customHeight="1">
      <c r="A36" s="7" t="n">
        <v>21</v>
      </c>
      <c r="B36" s="8" t="inlineStr">
        <is>
          <t>Soldering Stations</t>
        </is>
      </c>
      <c r="C36" s="9" t="n">
        <v>2</v>
      </c>
      <c r="D36" s="9" t="n">
        <v>0</v>
      </c>
      <c r="E36" s="9" t="n">
        <v>4</v>
      </c>
      <c r="F36" s="9">
        <f>IFERROR(MIN(C36,D36)*E36/C36,0)</f>
        <v/>
      </c>
      <c r="G36" s="9" t="n"/>
    </row>
    <row r="37" ht="14.15" customHeight="1">
      <c r="A37" s="7" t="n">
        <v>22</v>
      </c>
      <c r="B37" s="8" t="inlineStr">
        <is>
          <t>CT</t>
        </is>
      </c>
      <c r="C37" s="9" t="n">
        <v>3</v>
      </c>
      <c r="D37" s="9" t="n">
        <v>0</v>
      </c>
      <c r="E37" s="9" t="n">
        <v>6</v>
      </c>
      <c r="F37" s="9">
        <f>IFERROR(MIN(C37,D37)*E37/C37,0)</f>
        <v/>
      </c>
      <c r="G37" s="9" t="n"/>
    </row>
    <row r="38" ht="14.15" customHeight="1">
      <c r="A38" s="7" t="n">
        <v>23</v>
      </c>
      <c r="B38" s="8" t="inlineStr">
        <is>
          <t>PT</t>
        </is>
      </c>
      <c r="C38" s="9" t="n">
        <v>2</v>
      </c>
      <c r="D38" s="9" t="n">
        <v>0</v>
      </c>
      <c r="E38" s="9" t="n">
        <v>6</v>
      </c>
      <c r="F38" s="9">
        <f>IFERROR(MIN(C38,D38)*E38/C38,0)</f>
        <v/>
      </c>
      <c r="G38" s="9" t="n"/>
    </row>
    <row r="39" ht="14.15" customHeight="1">
      <c r="A39" s="7" t="n">
        <v>24</v>
      </c>
      <c r="B39" s="8" t="inlineStr">
        <is>
          <t>Indicating lamp</t>
        </is>
      </c>
      <c r="C39" s="9" t="n">
        <v>3</v>
      </c>
      <c r="D39" s="9" t="n">
        <v>0</v>
      </c>
      <c r="E39" s="9" t="n">
        <v>3</v>
      </c>
      <c r="F39" s="9">
        <f>IFERROR(MIN(C39,D39)*E39/C39,0)</f>
        <v/>
      </c>
      <c r="G39" s="9" t="n"/>
    </row>
    <row r="40" ht="14.15" customHeight="1">
      <c r="A40" s="7" t="n">
        <v>25</v>
      </c>
      <c r="B40" s="8" t="inlineStr">
        <is>
          <t>Multi meter/AVO meter</t>
        </is>
      </c>
      <c r="C40" s="9" t="n">
        <v>10</v>
      </c>
      <c r="D40" s="9" t="n">
        <v>0</v>
      </c>
      <c r="E40" s="9" t="n">
        <v>6</v>
      </c>
      <c r="F40" s="9">
        <f>IFERROR(MIN(C40,D40)*E40/C40,0)</f>
        <v/>
      </c>
      <c r="G40" s="9" t="n"/>
    </row>
    <row r="41" ht="14.15" customHeight="1">
      <c r="A41" s="7" t="n">
        <v>26</v>
      </c>
      <c r="B41" s="8" t="inlineStr">
        <is>
          <t>Earth tester</t>
        </is>
      </c>
      <c r="C41" s="9" t="n">
        <v>2</v>
      </c>
      <c r="D41" s="9" t="n">
        <v>0</v>
      </c>
      <c r="E41" s="9" t="n">
        <v>6</v>
      </c>
      <c r="F41" s="9">
        <f>IFERROR(MIN(C41,D41)*E41/C41,0)</f>
        <v/>
      </c>
      <c r="G41" s="9" t="n"/>
    </row>
    <row r="42" ht="14.15" customHeight="1">
      <c r="A42" s="7" t="n">
        <v>27</v>
      </c>
      <c r="B42" s="8" t="inlineStr">
        <is>
          <t>Digital weight machine</t>
        </is>
      </c>
      <c r="C42" s="9" t="n">
        <v>1</v>
      </c>
      <c r="D42" s="9" t="n">
        <v>0</v>
      </c>
      <c r="E42" s="9" t="n">
        <v>3</v>
      </c>
      <c r="F42" s="9">
        <f>IFERROR(MIN(C42,D42)*E42/C42,0)</f>
        <v/>
      </c>
      <c r="G42" s="9" t="n"/>
    </row>
    <row r="43" ht="14.15" customHeight="1">
      <c r="A43" s="7" t="n">
        <v>28</v>
      </c>
      <c r="B43" s="8" t="inlineStr">
        <is>
          <t>Insulation tester</t>
        </is>
      </c>
      <c r="C43" s="9" t="n">
        <v>2</v>
      </c>
      <c r="D43" s="9" t="n">
        <v>0</v>
      </c>
      <c r="E43" s="9" t="n">
        <v>6</v>
      </c>
      <c r="F43" s="9">
        <f>IFERROR(MIN(C43,D43)*E43/C43,0)</f>
        <v/>
      </c>
      <c r="G43" s="9" t="n"/>
    </row>
    <row r="44" ht="14.15" customHeight="1">
      <c r="A44" s="7" t="n">
        <v>29</v>
      </c>
      <c r="B44" s="8" t="inlineStr">
        <is>
          <t>Tachometer</t>
        </is>
      </c>
      <c r="C44" s="9" t="n">
        <v>2</v>
      </c>
      <c r="D44" s="9" t="n">
        <v>0</v>
      </c>
      <c r="E44" s="9" t="n">
        <v>4</v>
      </c>
      <c r="F44" s="9">
        <f>IFERROR(MIN(C44,D44)*E44/C44,0)</f>
        <v/>
      </c>
      <c r="G44" s="9" t="n"/>
    </row>
    <row r="45" ht="14.15" customHeight="1">
      <c r="A45" s="7" t="n">
        <v>30</v>
      </c>
      <c r="B45" s="8" t="inlineStr">
        <is>
          <t>Clamp Meter</t>
        </is>
      </c>
      <c r="C45" s="9" t="n">
        <v>2</v>
      </c>
      <c r="D45" s="9" t="n">
        <v>0</v>
      </c>
      <c r="E45" s="9" t="n">
        <v>5</v>
      </c>
      <c r="F45" s="9">
        <f>IFERROR(MIN(C45,D45)*E45/C45,0)</f>
        <v/>
      </c>
      <c r="G45" s="9" t="n"/>
    </row>
    <row r="46" ht="14.15" customHeight="1">
      <c r="A46" s="7" t="n">
        <v>31</v>
      </c>
      <c r="B46" s="8" t="inlineStr">
        <is>
          <t>Panel lock</t>
        </is>
      </c>
      <c r="C46" s="9" t="n">
        <v>2</v>
      </c>
      <c r="D46" s="9" t="n">
        <v>0</v>
      </c>
      <c r="E46" s="9" t="n">
        <v>3</v>
      </c>
      <c r="F46" s="9">
        <f>IFERROR(MIN(C46,D46)*E46/C46,0)</f>
        <v/>
      </c>
      <c r="G46" s="9" t="n"/>
    </row>
    <row r="47" ht="14.15" customHeight="1">
      <c r="A47" s="7" t="n">
        <v>32</v>
      </c>
      <c r="B47" s="8" t="inlineStr">
        <is>
          <t>Air vent</t>
        </is>
      </c>
      <c r="C47" s="9" t="n">
        <v>2</v>
      </c>
      <c r="D47" s="9" t="n">
        <v>0</v>
      </c>
      <c r="E47" s="9" t="n">
        <v>3</v>
      </c>
      <c r="F47" s="9">
        <f>IFERROR(MIN(C47,D47)*E47/C47,0)</f>
        <v/>
      </c>
      <c r="G47" s="9" t="n"/>
    </row>
    <row r="48" ht="14.15" customHeight="1">
      <c r="A48" s="7" t="n">
        <v>33</v>
      </c>
      <c r="B48" s="8" t="inlineStr">
        <is>
          <t>Exhaust fan</t>
        </is>
      </c>
      <c r="C48" s="9" t="n">
        <v>2</v>
      </c>
      <c r="D48" s="9" t="n">
        <v>0</v>
      </c>
      <c r="E48" s="9" t="n">
        <v>3</v>
      </c>
      <c r="F48" s="9">
        <f>IFERROR(MIN(C48,D48)*E48/C48,0)</f>
        <v/>
      </c>
      <c r="G48" s="9" t="n"/>
    </row>
    <row r="49" ht="14.15" customHeight="1">
      <c r="A49" s="7" t="n">
        <v>34</v>
      </c>
      <c r="B49" s="8" t="inlineStr">
        <is>
          <t>Insulator</t>
        </is>
      </c>
      <c r="C49" s="9" t="n">
        <v>8</v>
      </c>
      <c r="D49" s="9" t="n">
        <v>0</v>
      </c>
      <c r="E49" s="9" t="n">
        <v>4</v>
      </c>
      <c r="F49" s="9">
        <f>IFERROR(MIN(C49,D49)*E49/C49,0)</f>
        <v/>
      </c>
      <c r="G49" s="9" t="n"/>
    </row>
    <row r="50" ht="14.15" customHeight="1">
      <c r="A50" s="7" t="n">
        <v>35</v>
      </c>
      <c r="B50" s="8" t="inlineStr">
        <is>
          <t>Copper (12’)</t>
        </is>
      </c>
      <c r="C50" s="9" t="n">
        <v>1</v>
      </c>
      <c r="D50" s="9" t="n">
        <v>0</v>
      </c>
      <c r="E50" s="9" t="n">
        <v>3</v>
      </c>
      <c r="F50" s="9">
        <f>IFERROR(MIN(C50,D50)*E50/C50,0)</f>
        <v/>
      </c>
      <c r="G50" s="9" t="n"/>
    </row>
    <row r="51" ht="14.15" customHeight="1">
      <c r="A51" s="7" t="n">
        <v>36</v>
      </c>
      <c r="B51" s="8" t="inlineStr">
        <is>
          <t>Copper tube (15’)</t>
        </is>
      </c>
      <c r="C51" s="9" t="n">
        <v>3</v>
      </c>
      <c r="D51" s="9" t="n">
        <v>0</v>
      </c>
      <c r="E51" s="9" t="n">
        <v>3</v>
      </c>
      <c r="F51" s="9">
        <f>IFERROR(MIN(C51,D51)*E51/C51,0)</f>
        <v/>
      </c>
      <c r="G51" s="9" t="n"/>
    </row>
    <row r="52">
      <c r="A52" s="10" t="inlineStr">
        <is>
          <t>Sum</t>
        </is>
      </c>
      <c r="B52" s="11" t="n"/>
      <c r="C52" s="11" t="n"/>
      <c r="D52" s="12" t="n"/>
      <c r="E52" s="10">
        <f>SUM(E16:E51)</f>
        <v/>
      </c>
      <c r="F52" s="10">
        <f>SUM(F16:F51)</f>
        <v/>
      </c>
      <c r="G52" s="13" t="n"/>
    </row>
    <row r="53">
      <c r="A53" s="10" t="inlineStr">
        <is>
          <t>Score out of 100</t>
        </is>
      </c>
      <c r="B53" s="11" t="n"/>
      <c r="C53" s="11" t="n"/>
      <c r="D53" s="11" t="n"/>
      <c r="E53" s="12" t="n"/>
      <c r="F53" s="10">
        <f>F52/E52*100</f>
        <v/>
      </c>
      <c r="G53" s="13" t="n"/>
    </row>
    <row r="54" ht="9.75" customHeight="1"/>
    <row r="55">
      <c r="A55" s="10" t="inlineStr">
        <is>
          <t xml:space="preserve">Total achieved points out of 30  </t>
        </is>
      </c>
      <c r="B55" s="11" t="n"/>
      <c r="C55" s="11" t="n"/>
      <c r="D55" s="11" t="n"/>
      <c r="E55" s="12" t="n"/>
      <c r="F55" s="10">
        <f>F53*30/100</f>
        <v/>
      </c>
      <c r="G55" s="10"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Spray Guns (Airless &amp; Conventional)</t>
        </is>
      </c>
      <c r="C19" s="9" t="n">
        <v>5</v>
      </c>
      <c r="D19" s="9" t="n">
        <v>0</v>
      </c>
      <c r="E19" s="9" t="n">
        <v>9</v>
      </c>
      <c r="F19" s="9">
        <f>IFERROR(MIN(C19,D19)*E19/C19,0)</f>
        <v/>
      </c>
      <c r="G19" s="9" t="n"/>
    </row>
    <row r="20" ht="14.15" customHeight="1">
      <c r="A20" s="7" t="n">
        <v>5</v>
      </c>
      <c r="B20" s="8" t="inlineStr">
        <is>
          <t>Paint Brushes</t>
        </is>
      </c>
      <c r="C20" s="9" t="n">
        <v>25</v>
      </c>
      <c r="D20" s="9" t="n">
        <v>0</v>
      </c>
      <c r="E20" s="9" t="n">
        <v>4</v>
      </c>
      <c r="F20" s="9">
        <f>IFERROR(MIN(C20,D20)*E20/C20,0)</f>
        <v/>
      </c>
      <c r="G20" s="9" t="n"/>
    </row>
    <row r="21" ht="14.15" customHeight="1">
      <c r="A21" s="7" t="n">
        <v>6</v>
      </c>
      <c r="B21" s="8" t="inlineStr">
        <is>
          <t>Paint Rollers</t>
        </is>
      </c>
      <c r="C21" s="9" t="n">
        <v>25</v>
      </c>
      <c r="D21" s="9" t="n">
        <v>0</v>
      </c>
      <c r="E21" s="9" t="n">
        <v>4</v>
      </c>
      <c r="F21" s="9">
        <f>IFERROR(MIN(C21,D21)*E21/C21,0)</f>
        <v/>
      </c>
      <c r="G21" s="9" t="n"/>
    </row>
    <row r="22" ht="14.15" customHeight="1">
      <c r="A22" s="7" t="n">
        <v>7</v>
      </c>
      <c r="B22" s="8" t="inlineStr">
        <is>
          <t>Paint Trays</t>
        </is>
      </c>
      <c r="C22" s="9" t="n">
        <v>25</v>
      </c>
      <c r="D22" s="9" t="n">
        <v>0</v>
      </c>
      <c r="E22" s="9" t="n">
        <v>3</v>
      </c>
      <c r="F22" s="9">
        <f>IFERROR(MIN(C22,D22)*E22/C22,0)</f>
        <v/>
      </c>
      <c r="G22" s="9" t="n"/>
    </row>
    <row r="23" ht="14.15" customHeight="1">
      <c r="A23" s="7" t="n">
        <v>8</v>
      </c>
      <c r="B23" s="8" t="inlineStr">
        <is>
          <t>Air Compressors</t>
        </is>
      </c>
      <c r="C23" s="9" t="n">
        <v>2</v>
      </c>
      <c r="D23" s="9" t="n">
        <v>0</v>
      </c>
      <c r="E23" s="9" t="n">
        <v>7</v>
      </c>
      <c r="F23" s="9">
        <f>IFERROR(MIN(C23,D23)*E23/C23,0)</f>
        <v/>
      </c>
      <c r="G23" s="9" t="n"/>
    </row>
    <row r="24" ht="14.15" customHeight="1">
      <c r="A24" s="7" t="n">
        <v>9</v>
      </c>
      <c r="B24" s="8" t="inlineStr">
        <is>
          <t>Grinders</t>
        </is>
      </c>
      <c r="C24" s="9" t="n">
        <v>10</v>
      </c>
      <c r="D24" s="9" t="n">
        <v>0</v>
      </c>
      <c r="E24" s="9" t="n">
        <v>6</v>
      </c>
      <c r="F24" s="9">
        <f>IFERROR(MIN(C24,D24)*E24/C24,0)</f>
        <v/>
      </c>
      <c r="G24" s="9" t="n"/>
    </row>
    <row r="25" ht="14.15" customHeight="1">
      <c r="A25" s="7" t="n">
        <v>10</v>
      </c>
      <c r="B25" s="8" t="inlineStr">
        <is>
          <t>Scaffolding and Ladders</t>
        </is>
      </c>
      <c r="C25" s="9" t="n">
        <v>2</v>
      </c>
      <c r="D25" s="9" t="n">
        <v>0</v>
      </c>
      <c r="E25" s="9" t="n">
        <v>6</v>
      </c>
      <c r="F25" s="9">
        <f>IFERROR(MIN(C25,D25)*E25/C25,0)</f>
        <v/>
      </c>
      <c r="G25" s="9" t="n"/>
    </row>
    <row r="26" ht="14.15" customHeight="1">
      <c r="A26" s="7" t="n">
        <v>11</v>
      </c>
      <c r="B26" s="8" t="inlineStr">
        <is>
          <t>Pressure Washers (Water)</t>
        </is>
      </c>
      <c r="C26" s="9" t="n">
        <v>2</v>
      </c>
      <c r="D26" s="9" t="n">
        <v>0</v>
      </c>
      <c r="E26" s="9" t="n">
        <v>6</v>
      </c>
      <c r="F26" s="9">
        <f>IFERROR(MIN(C26,D26)*E26/C26,0)</f>
        <v/>
      </c>
      <c r="G26" s="9" t="n"/>
    </row>
    <row r="27" ht="14.15" customHeight="1">
      <c r="A27" s="7" t="n">
        <v>12</v>
      </c>
      <c r="B27" s="8" t="inlineStr">
        <is>
          <t>Paint Mixers</t>
        </is>
      </c>
      <c r="C27" s="9" t="n">
        <v>1</v>
      </c>
      <c r="D27" s="9" t="n">
        <v>0</v>
      </c>
      <c r="E27" s="9" t="n">
        <v>6</v>
      </c>
      <c r="F27" s="9">
        <f>IFERROR(MIN(C27,D27)*E27/C27,0)</f>
        <v/>
      </c>
      <c r="G27" s="9" t="n"/>
    </row>
    <row r="28" ht="14.15" customHeight="1">
      <c r="A28" s="7" t="n">
        <v>13</v>
      </c>
      <c r="B28" s="8" t="inlineStr">
        <is>
          <t>Paint Pumps</t>
        </is>
      </c>
      <c r="C28" s="9" t="n">
        <v>2</v>
      </c>
      <c r="D28" s="9" t="n">
        <v>0</v>
      </c>
      <c r="E28" s="9" t="n">
        <v>6</v>
      </c>
      <c r="F28" s="9">
        <f>IFERROR(MIN(C28,D28)*E28/C28,0)</f>
        <v/>
      </c>
      <c r="G28" s="9" t="n"/>
    </row>
    <row r="29" ht="14.15" customHeight="1">
      <c r="A29" s="7" t="n">
        <v>14</v>
      </c>
      <c r="B29" s="8" t="inlineStr">
        <is>
          <t>Paint Thickness Gauge</t>
        </is>
      </c>
      <c r="C29" s="9" t="n">
        <v>2</v>
      </c>
      <c r="D29" s="9" t="n">
        <v>0</v>
      </c>
      <c r="E29" s="9" t="n">
        <v>5</v>
      </c>
      <c r="F29" s="9">
        <f>IFERROR(MIN(C29,D29)*E29/C29,0)</f>
        <v/>
      </c>
      <c r="G29" s="9" t="n"/>
    </row>
    <row r="30" ht="14.15" customHeight="1">
      <c r="A30" s="7" t="n">
        <v>15</v>
      </c>
      <c r="B30" s="8" t="inlineStr">
        <is>
          <t>Air blower</t>
        </is>
      </c>
      <c r="C30" s="9" t="n">
        <v>2</v>
      </c>
      <c r="D30" s="9" t="n">
        <v>0</v>
      </c>
      <c r="E30" s="9" t="n">
        <v>4</v>
      </c>
      <c r="F30" s="9">
        <f>IFERROR(MIN(C30,D30)*E30/C30,0)</f>
        <v/>
      </c>
      <c r="G30" s="9" t="n"/>
    </row>
    <row r="31" ht="14.15" customHeight="1">
      <c r="A31" s="7" t="n">
        <v>16</v>
      </c>
      <c r="B31" s="8" t="inlineStr">
        <is>
          <t>Surface Cleaning Equipment (Blasting, Sandblasting Machines)</t>
        </is>
      </c>
      <c r="C31" s="9" t="n">
        <v>2</v>
      </c>
      <c r="D31" s="9" t="n">
        <v>0</v>
      </c>
      <c r="E31" s="9" t="n">
        <v>8</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Tractor (Power Tiller)</t>
        </is>
      </c>
      <c r="C19" s="9" t="n">
        <v>5</v>
      </c>
      <c r="D19" s="9" t="n">
        <v>0</v>
      </c>
      <c r="E19" s="9" t="n">
        <v>10</v>
      </c>
      <c r="F19" s="9">
        <f>IFERROR(MIN(C19,D19)*E19/C19,0)</f>
        <v/>
      </c>
      <c r="G19" s="9" t="n"/>
    </row>
    <row r="20" ht="14.15" customHeight="1">
      <c r="A20" s="7" t="n">
        <v>5</v>
      </c>
      <c r="B20" s="8" t="inlineStr">
        <is>
          <t>Tiller Attachments</t>
        </is>
      </c>
      <c r="C20" s="9" t="n">
        <v>5</v>
      </c>
      <c r="D20" s="9" t="n">
        <v>0</v>
      </c>
      <c r="E20" s="9" t="n">
        <v>8</v>
      </c>
      <c r="F20" s="9">
        <f>IFERROR(MIN(C20,D20)*E20/C20,0)</f>
        <v/>
      </c>
      <c r="G20" s="9" t="n"/>
    </row>
    <row r="21" ht="14.15" customHeight="1">
      <c r="A21" s="7" t="n">
        <v>6</v>
      </c>
      <c r="B21" s="8" t="inlineStr">
        <is>
          <t>Tractor Maintenance Tools Kit</t>
        </is>
      </c>
      <c r="C21" s="9" t="n">
        <v>5</v>
      </c>
      <c r="D21" s="9" t="n">
        <v>0</v>
      </c>
      <c r="E21" s="9" t="n">
        <v>6</v>
      </c>
      <c r="F21" s="9">
        <f>IFERROR(MIN(C21,D21)*E21/C21,0)</f>
        <v/>
      </c>
      <c r="G21" s="9" t="n"/>
    </row>
    <row r="22" ht="14.15" customHeight="1">
      <c r="A22" s="7" t="n">
        <v>7</v>
      </c>
      <c r="B22" s="8" t="inlineStr">
        <is>
          <t>Centrifugal Pumps (with adjustable nozzles and valves)</t>
        </is>
      </c>
      <c r="C22" s="9" t="n">
        <v>6</v>
      </c>
      <c r="D22" s="9" t="n">
        <v>0</v>
      </c>
      <c r="E22" s="9" t="n">
        <v>7</v>
      </c>
      <c r="F22" s="9">
        <f>IFERROR(MIN(C22,D22)*E22/C22,0)</f>
        <v/>
      </c>
      <c r="G22" s="9" t="n"/>
    </row>
    <row r="23" ht="14.15" customHeight="1">
      <c r="A23" s="7" t="n">
        <v>8</v>
      </c>
      <c r="B23" s="8" t="inlineStr">
        <is>
          <t>Submersible Pumps (for deep well operations)</t>
        </is>
      </c>
      <c r="C23" s="9" t="n">
        <v>2</v>
      </c>
      <c r="D23" s="9" t="n">
        <v>0</v>
      </c>
      <c r="E23" s="9" t="n">
        <v>7</v>
      </c>
      <c r="F23" s="9">
        <f>IFERROR(MIN(C23,D23)*E23/C23,0)</f>
        <v/>
      </c>
      <c r="G23" s="9" t="n"/>
    </row>
    <row r="24" ht="14.15" customHeight="1">
      <c r="A24" s="7" t="n">
        <v>9</v>
      </c>
      <c r="B24" s="8" t="inlineStr">
        <is>
          <t>Manual Sprayers (for small-scale operations)</t>
        </is>
      </c>
      <c r="C24" s="9" t="n">
        <v>10</v>
      </c>
      <c r="D24" s="9" t="n">
        <v>0</v>
      </c>
      <c r="E24" s="9" t="n">
        <v>5</v>
      </c>
      <c r="F24" s="9">
        <f>IFERROR(MIN(C24,D24)*E24/C24,0)</f>
        <v/>
      </c>
      <c r="G24" s="9" t="n"/>
    </row>
    <row r="25" ht="14.15" customHeight="1">
      <c r="A25" s="7" t="n">
        <v>10</v>
      </c>
      <c r="B25" s="8" t="inlineStr">
        <is>
          <t>Power Sprayers (for larger-scale operations)</t>
        </is>
      </c>
      <c r="C25" s="9" t="n">
        <v>5</v>
      </c>
      <c r="D25" s="9" t="n">
        <v>0</v>
      </c>
      <c r="E25" s="9" t="n">
        <v>6</v>
      </c>
      <c r="F25" s="9">
        <f>IFERROR(MIN(C25,D25)*E25/C25,0)</f>
        <v/>
      </c>
      <c r="G25" s="9" t="n"/>
    </row>
    <row r="26" ht="14.15" customHeight="1">
      <c r="A26" s="7" t="n">
        <v>11</v>
      </c>
      <c r="B26" s="8" t="inlineStr">
        <is>
          <t>Rice/Wheat Reaper Machine</t>
        </is>
      </c>
      <c r="C26" s="9" t="n">
        <v>2</v>
      </c>
      <c r="D26" s="9" t="n">
        <v>0</v>
      </c>
      <c r="E26" s="9" t="n">
        <v>8</v>
      </c>
      <c r="F26" s="9">
        <f>IFERROR(MIN(C26,D26)*E26/C26,0)</f>
        <v/>
      </c>
      <c r="G26" s="9" t="n"/>
    </row>
    <row r="27" ht="14.15" customHeight="1">
      <c r="A27" s="7" t="n">
        <v>12</v>
      </c>
      <c r="B27" s="8" t="inlineStr">
        <is>
          <t>Adjustable Reaper Blades for different crop heights</t>
        </is>
      </c>
      <c r="C27" s="9" t="n">
        <v>2</v>
      </c>
      <c r="D27" s="9" t="n">
        <v>0</v>
      </c>
      <c r="E27" s="9" t="n">
        <v>5</v>
      </c>
      <c r="F27" s="9">
        <f>IFERROR(MIN(C27,D27)*E27/C27,0)</f>
        <v/>
      </c>
      <c r="G27" s="9" t="n"/>
    </row>
    <row r="28" ht="14.15" customHeight="1">
      <c r="A28" s="7" t="n">
        <v>13</v>
      </c>
      <c r="B28" s="8" t="inlineStr">
        <is>
          <t>Power Threshers (Close Drum models)</t>
        </is>
      </c>
      <c r="C28" s="9" t="n">
        <v>2</v>
      </c>
      <c r="D28" s="9" t="n">
        <v>0</v>
      </c>
      <c r="E28" s="9" t="n">
        <v>8</v>
      </c>
      <c r="F28" s="9">
        <f>IFERROR(MIN(C28,D28)*E28/C28,0)</f>
        <v/>
      </c>
      <c r="G28" s="9" t="n"/>
    </row>
    <row r="29" ht="14.15" customHeight="1">
      <c r="A29" s="7" t="n">
        <v>14</v>
      </c>
      <c r="B29" s="8" t="inlineStr">
        <is>
          <t>Engine Diagnostic Tools</t>
        </is>
      </c>
      <c r="C29" s="9" t="n">
        <v>5</v>
      </c>
      <c r="D29" s="9" t="n">
        <v>0</v>
      </c>
      <c r="E29" s="9" t="n">
        <v>6</v>
      </c>
      <c r="F29" s="9">
        <f>IFERROR(MIN(C29,D29)*E29/C29,0)</f>
        <v/>
      </c>
      <c r="G29" s="9" t="n"/>
    </row>
    <row r="30" ht="14.15" customHeight="1">
      <c r="A30" s="7" t="n">
        <v>15</v>
      </c>
      <c r="B30" s="8" t="inlineStr">
        <is>
          <t>Diesel engine (for maintenance)</t>
        </is>
      </c>
      <c r="C30" s="9" t="n">
        <v>5</v>
      </c>
      <c r="D30" s="9" t="n">
        <v>0</v>
      </c>
      <c r="E30" s="9" t="n">
        <v>7</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Road roller</t>
        </is>
      </c>
      <c r="C18" s="9" t="n">
        <v>1</v>
      </c>
      <c r="D18" s="9" t="n">
        <v>0</v>
      </c>
      <c r="E18" s="9" t="n">
        <v>10</v>
      </c>
      <c r="F18" s="9">
        <f>IFERROR(MIN(C18,D18)*E18/C18,0)</f>
        <v/>
      </c>
      <c r="G18" s="9" t="n"/>
    </row>
    <row r="19" ht="14.15" customHeight="1">
      <c r="A19" s="7" t="n">
        <v>4</v>
      </c>
      <c r="B19" s="8" t="inlineStr">
        <is>
          <t>Excavator</t>
        </is>
      </c>
      <c r="C19" s="9" t="n">
        <v>1</v>
      </c>
      <c r="D19" s="9" t="n">
        <v>0</v>
      </c>
      <c r="E19" s="9" t="n">
        <v>10</v>
      </c>
      <c r="F19" s="9">
        <f>IFERROR(MIN(C19,D19)*E19/C19,0)</f>
        <v/>
      </c>
      <c r="G19" s="9" t="n"/>
    </row>
    <row r="20" ht="14.15" customHeight="1">
      <c r="A20" s="7" t="n">
        <v>5</v>
      </c>
      <c r="B20" s="8" t="inlineStr">
        <is>
          <t>Excavator Attachments (Orange grapple)</t>
        </is>
      </c>
      <c r="C20" s="9" t="n">
        <v>1</v>
      </c>
      <c r="D20" s="9" t="n">
        <v>0</v>
      </c>
      <c r="E20" s="9" t="n">
        <v>7</v>
      </c>
      <c r="F20" s="9">
        <f>IFERROR(MIN(C20,D20)*E20/C20,0)</f>
        <v/>
      </c>
      <c r="G20" s="9" t="n"/>
    </row>
    <row r="21" ht="14.15" customHeight="1">
      <c r="A21" s="7" t="n">
        <v>6</v>
      </c>
      <c r="B21" s="8" t="inlineStr">
        <is>
          <t>Blower</t>
        </is>
      </c>
      <c r="C21" s="9" t="n">
        <v>2</v>
      </c>
      <c r="D21" s="9" t="n">
        <v>0</v>
      </c>
      <c r="E21" s="9" t="n">
        <v>4</v>
      </c>
      <c r="F21" s="9">
        <f>IFERROR(MIN(C21,D21)*E21/C21,0)</f>
        <v/>
      </c>
      <c r="G21" s="9" t="n"/>
    </row>
    <row r="22" ht="14.15" customHeight="1">
      <c r="A22" s="7" t="n">
        <v>7</v>
      </c>
      <c r="B22" s="8" t="inlineStr">
        <is>
          <t>Air Compressor</t>
        </is>
      </c>
      <c r="C22" s="9" t="n">
        <v>2</v>
      </c>
      <c r="D22" s="9" t="n">
        <v>0</v>
      </c>
      <c r="E22" s="9" t="n">
        <v>6</v>
      </c>
      <c r="F22" s="9">
        <f>IFERROR(MIN(C22,D22)*E22/C22,0)</f>
        <v/>
      </c>
      <c r="G22" s="9" t="n"/>
    </row>
    <row r="23" ht="14.15" customHeight="1">
      <c r="A23" s="7" t="n">
        <v>8</v>
      </c>
      <c r="B23" s="8" t="inlineStr">
        <is>
          <t>Air pressure gauge</t>
        </is>
      </c>
      <c r="C23" s="9" t="n">
        <v>1</v>
      </c>
      <c r="D23" s="9" t="n">
        <v>0</v>
      </c>
      <c r="E23" s="9" t="n">
        <v>4</v>
      </c>
      <c r="F23" s="9">
        <f>IFERROR(MIN(C23,D23)*E23/C23,0)</f>
        <v/>
      </c>
      <c r="G23" s="9" t="n"/>
    </row>
    <row r="24" ht="14.15" customHeight="1">
      <c r="A24" s="7" t="n">
        <v>9</v>
      </c>
      <c r="B24" s="8" t="inlineStr">
        <is>
          <t>Filter opener set</t>
        </is>
      </c>
      <c r="C24" s="9" t="n">
        <v>5</v>
      </c>
      <c r="D24" s="9" t="n">
        <v>0</v>
      </c>
      <c r="E24" s="9" t="n">
        <v>3</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Allen key set</t>
        </is>
      </c>
      <c r="C26" s="9" t="n">
        <v>5</v>
      </c>
      <c r="D26" s="9" t="n">
        <v>0</v>
      </c>
      <c r="E26" s="9" t="n">
        <v>3</v>
      </c>
      <c r="F26" s="9">
        <f>IFERROR(MIN(C26,D26)*E26/C26,0)</f>
        <v/>
      </c>
      <c r="G26" s="9" t="n"/>
    </row>
    <row r="27" ht="14.15" customHeight="1">
      <c r="A27" s="7" t="n">
        <v>12</v>
      </c>
      <c r="B27" s="8" t="inlineStr">
        <is>
          <t>Socket set</t>
        </is>
      </c>
      <c r="C27" s="9" t="n">
        <v>5</v>
      </c>
      <c r="D27" s="9" t="n">
        <v>0</v>
      </c>
      <c r="E27" s="9" t="n">
        <v>4</v>
      </c>
      <c r="F27" s="9">
        <f>IFERROR(MIN(C27,D27)*E27/C27,0)</f>
        <v/>
      </c>
      <c r="G27" s="9" t="n"/>
    </row>
    <row r="28" ht="14.15" customHeight="1">
      <c r="A28" s="7" t="n">
        <v>13</v>
      </c>
      <c r="B28" s="8" t="inlineStr">
        <is>
          <t>Screwdriver set</t>
        </is>
      </c>
      <c r="C28" s="9" t="n">
        <v>5</v>
      </c>
      <c r="D28" s="9" t="n">
        <v>0</v>
      </c>
      <c r="E28" s="9" t="n">
        <v>3</v>
      </c>
      <c r="F28" s="9">
        <f>IFERROR(MIN(C28,D28)*E28/C28,0)</f>
        <v/>
      </c>
      <c r="G28" s="9" t="n"/>
    </row>
    <row r="29" ht="14.15" customHeight="1">
      <c r="A29" s="7" t="n">
        <v>14</v>
      </c>
      <c r="B29" s="8" t="inlineStr">
        <is>
          <t>Pliers</t>
        </is>
      </c>
      <c r="C29" s="9" t="n">
        <v>5</v>
      </c>
      <c r="D29" s="9" t="n">
        <v>0</v>
      </c>
      <c r="E29" s="9" t="n">
        <v>3</v>
      </c>
      <c r="F29" s="9">
        <f>IFERROR(MIN(C29,D29)*E29/C29,0)</f>
        <v/>
      </c>
      <c r="G29" s="9" t="n"/>
    </row>
    <row r="30" ht="14.15" customHeight="1">
      <c r="A30" s="7" t="n">
        <v>15</v>
      </c>
      <c r="B30" s="8" t="inlineStr">
        <is>
          <t>Hammer</t>
        </is>
      </c>
      <c r="C30" s="9" t="n">
        <v>5</v>
      </c>
      <c r="D30" s="9" t="n">
        <v>0</v>
      </c>
      <c r="E30" s="9" t="n">
        <v>3</v>
      </c>
      <c r="F30" s="9">
        <f>IFERROR(MIN(C30,D30)*E30/C30,0)</f>
        <v/>
      </c>
      <c r="G30" s="9" t="n"/>
    </row>
    <row r="31" ht="14.15" customHeight="1">
      <c r="A31" s="7" t="n">
        <v>16</v>
      </c>
      <c r="B31" s="8" t="inlineStr">
        <is>
          <t>Torque wrench</t>
        </is>
      </c>
      <c r="C31" s="9" t="n">
        <v>5</v>
      </c>
      <c r="D31" s="9" t="n">
        <v>0</v>
      </c>
      <c r="E31" s="9" t="n">
        <v>5</v>
      </c>
      <c r="F31" s="9">
        <f>IFERROR(MIN(C31,D31)*E31/C31,0)</f>
        <v/>
      </c>
      <c r="G31" s="9" t="n"/>
    </row>
    <row r="32" ht="14.15" customHeight="1">
      <c r="A32" s="7" t="n">
        <v>17</v>
      </c>
      <c r="B32" s="8" t="inlineStr">
        <is>
          <t>Grease gun</t>
        </is>
      </c>
      <c r="C32" s="9" t="n">
        <v>5</v>
      </c>
      <c r="D32" s="9" t="n">
        <v>0</v>
      </c>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Crane</t>
        </is>
      </c>
      <c r="C18" s="9" t="n">
        <v>1</v>
      </c>
      <c r="D18" s="9" t="n">
        <v>0</v>
      </c>
      <c r="E18" s="9" t="n">
        <v>10</v>
      </c>
      <c r="F18" s="9">
        <f>IFERROR(MIN(C18,D18)*E18/C18,0)</f>
        <v/>
      </c>
      <c r="G18" s="9" t="n"/>
    </row>
    <row r="19" ht="14.15" customHeight="1">
      <c r="A19" s="7" t="n">
        <v>4</v>
      </c>
      <c r="B19" s="8" t="inlineStr">
        <is>
          <t>Crane attachments (clamp shell bucket)</t>
        </is>
      </c>
      <c r="C19" s="9" t="n">
        <v>1</v>
      </c>
      <c r="D19" s="9" t="n">
        <v>0</v>
      </c>
      <c r="E19" s="9" t="n">
        <v>7</v>
      </c>
      <c r="F19" s="9">
        <f>IFERROR(MIN(C19,D19)*E19/C19,0)</f>
        <v/>
      </c>
      <c r="G19" s="9" t="n"/>
    </row>
    <row r="20" ht="14.15" customHeight="1">
      <c r="A20" s="7" t="n">
        <v>5</v>
      </c>
      <c r="B20" s="8" t="inlineStr">
        <is>
          <t>Forklift</t>
        </is>
      </c>
      <c r="C20" s="9" t="n">
        <v>1</v>
      </c>
      <c r="D20" s="9" t="n">
        <v>0</v>
      </c>
      <c r="E20" s="9" t="n">
        <v>10</v>
      </c>
      <c r="F20" s="9">
        <f>IFERROR(MIN(C20,D20)*E20/C20,0)</f>
        <v/>
      </c>
      <c r="G20" s="9" t="n"/>
    </row>
    <row r="21" ht="14.15" customHeight="1">
      <c r="A21" s="7" t="n">
        <v>6</v>
      </c>
      <c r="B21" s="8" t="inlineStr">
        <is>
          <t>Forklift Attachments (carton clamp)</t>
        </is>
      </c>
      <c r="C21" s="9" t="n">
        <v>1</v>
      </c>
      <c r="D21" s="9" t="n">
        <v>0</v>
      </c>
      <c r="E21" s="9" t="n">
        <v>7</v>
      </c>
      <c r="F21" s="9">
        <f>IFERROR(MIN(C21,D21)*E21/C21,0)</f>
        <v/>
      </c>
      <c r="G21" s="9" t="n"/>
    </row>
    <row r="22" ht="14.15" customHeight="1">
      <c r="A22" s="7" t="n">
        <v>7</v>
      </c>
      <c r="B22" s="8" t="inlineStr">
        <is>
          <t>Blower</t>
        </is>
      </c>
      <c r="C22" s="9" t="n">
        <v>2</v>
      </c>
      <c r="D22" s="9" t="n">
        <v>0</v>
      </c>
      <c r="E22" s="9" t="n">
        <v>4</v>
      </c>
      <c r="F22" s="9">
        <f>IFERROR(MIN(C22,D22)*E22/C22,0)</f>
        <v/>
      </c>
      <c r="G22" s="9" t="n"/>
    </row>
    <row r="23" ht="14.15" customHeight="1">
      <c r="A23" s="7" t="n">
        <v>8</v>
      </c>
      <c r="B23" s="8" t="inlineStr">
        <is>
          <t>Air Compressor</t>
        </is>
      </c>
      <c r="C23" s="9" t="n">
        <v>2</v>
      </c>
      <c r="D23" s="9" t="n">
        <v>0</v>
      </c>
      <c r="E23" s="9" t="n">
        <v>6</v>
      </c>
      <c r="F23" s="9">
        <f>IFERROR(MIN(C23,D23)*E23/C23,0)</f>
        <v/>
      </c>
      <c r="G23" s="9" t="n"/>
    </row>
    <row r="24" ht="14.15" customHeight="1">
      <c r="A24" s="7" t="n">
        <v>9</v>
      </c>
      <c r="B24" s="8" t="inlineStr">
        <is>
          <t>Air pressure gauge</t>
        </is>
      </c>
      <c r="C24" s="9" t="n">
        <v>1</v>
      </c>
      <c r="D24" s="9" t="n">
        <v>0</v>
      </c>
      <c r="E24" s="9" t="n">
        <v>4</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Filter opener set</t>
        </is>
      </c>
      <c r="C26" s="9" t="n">
        <v>5</v>
      </c>
      <c r="D26" s="9" t="n">
        <v>0</v>
      </c>
      <c r="E26" s="9" t="n">
        <v>3</v>
      </c>
      <c r="F26" s="9">
        <f>IFERROR(MIN(C26,D26)*E26/C26,0)</f>
        <v/>
      </c>
      <c r="G26" s="9" t="n"/>
    </row>
    <row r="27" ht="14.15" customHeight="1">
      <c r="A27" s="7" t="n">
        <v>12</v>
      </c>
      <c r="B27" s="8" t="inlineStr">
        <is>
          <t>Allen key set</t>
        </is>
      </c>
      <c r="C27" s="9" t="n">
        <v>5</v>
      </c>
      <c r="D27" s="9" t="n">
        <v>0</v>
      </c>
      <c r="E27" s="9" t="n">
        <v>3</v>
      </c>
      <c r="F27" s="9">
        <f>IFERROR(MIN(C27,D27)*E27/C27,0)</f>
        <v/>
      </c>
      <c r="G27" s="9" t="n"/>
    </row>
    <row r="28" ht="14.15" customHeight="1">
      <c r="A28" s="7" t="n">
        <v>13</v>
      </c>
      <c r="B28" s="8" t="inlineStr">
        <is>
          <t>Socket set</t>
        </is>
      </c>
      <c r="C28" s="9" t="n">
        <v>5</v>
      </c>
      <c r="D28" s="9" t="n">
        <v>0</v>
      </c>
      <c r="E28" s="9" t="n">
        <v>4</v>
      </c>
      <c r="F28" s="9">
        <f>IFERROR(MIN(C28,D28)*E28/C28,0)</f>
        <v/>
      </c>
      <c r="G28" s="9" t="n"/>
    </row>
    <row r="29" ht="14.15" customHeight="1">
      <c r="A29" s="7" t="n">
        <v>14</v>
      </c>
      <c r="B29" s="8" t="inlineStr">
        <is>
          <t>Screwdriver set</t>
        </is>
      </c>
      <c r="C29" s="9" t="n">
        <v>5</v>
      </c>
      <c r="D29" s="9" t="n">
        <v>0</v>
      </c>
      <c r="E29" s="9" t="n">
        <v>3</v>
      </c>
      <c r="F29" s="9">
        <f>IFERROR(MIN(C29,D29)*E29/C29,0)</f>
        <v/>
      </c>
      <c r="G29" s="9" t="n"/>
    </row>
    <row r="30" ht="14.15" customHeight="1">
      <c r="A30" s="7" t="n">
        <v>15</v>
      </c>
      <c r="B30" s="8" t="inlineStr">
        <is>
          <t>Pliers</t>
        </is>
      </c>
      <c r="C30" s="9" t="n">
        <v>5</v>
      </c>
      <c r="D30" s="9" t="n">
        <v>0</v>
      </c>
      <c r="E30" s="9" t="n">
        <v>3</v>
      </c>
      <c r="F30" s="9">
        <f>IFERROR(MIN(C30,D30)*E30/C30,0)</f>
        <v/>
      </c>
      <c r="G30" s="9" t="n"/>
    </row>
    <row r="31" ht="14.15" customHeight="1">
      <c r="A31" s="7" t="n">
        <v>16</v>
      </c>
      <c r="B31" s="8" t="inlineStr">
        <is>
          <t>Hammer</t>
        </is>
      </c>
      <c r="C31" s="9" t="n">
        <v>5</v>
      </c>
      <c r="D31" s="9" t="n">
        <v>0</v>
      </c>
      <c r="E31" s="9" t="n">
        <v>3</v>
      </c>
      <c r="F31" s="9">
        <f>IFERROR(MIN(C31,D31)*E31/C31,0)</f>
        <v/>
      </c>
      <c r="G31" s="9" t="n"/>
    </row>
    <row r="32" ht="14.15" customHeight="1">
      <c r="A32" s="7" t="n">
        <v>17</v>
      </c>
      <c r="B32" s="8" t="inlineStr">
        <is>
          <t>Hydraulic jack (crane and forklift)</t>
        </is>
      </c>
      <c r="C32" s="9" t="n">
        <v>2</v>
      </c>
      <c r="D32" s="9" t="n">
        <v>0</v>
      </c>
      <c r="E32" s="9" t="n">
        <v>6</v>
      </c>
      <c r="F32" s="9">
        <f>IFERROR(MIN(C32,D32)*E32/C32,0)</f>
        <v/>
      </c>
      <c r="G32" s="9" t="n"/>
    </row>
    <row r="33" ht="14.15" customHeight="1">
      <c r="A33" s="7" t="n">
        <v>18</v>
      </c>
      <c r="B33" s="8" t="inlineStr">
        <is>
          <t>Torque wrench</t>
        </is>
      </c>
      <c r="C33" s="9" t="n">
        <v>5</v>
      </c>
      <c r="D33" s="9" t="n">
        <v>0</v>
      </c>
      <c r="E33" s="9" t="n">
        <v>5</v>
      </c>
      <c r="F33" s="9">
        <f>IFERROR(MIN(C33,D33)*E33/C33,0)</f>
        <v/>
      </c>
      <c r="G33" s="9" t="n"/>
    </row>
    <row r="34" ht="14.15" customHeight="1">
      <c r="A34" s="7" t="n">
        <v>19</v>
      </c>
      <c r="B34" s="8" t="inlineStr">
        <is>
          <t>Grease gun</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8</v>
      </c>
      <c r="F19" s="9">
        <f>IFERROR(MIN(C19,D19)*E19/C19,0)</f>
        <v/>
      </c>
      <c r="G19" s="9" t="n"/>
    </row>
    <row r="20" ht="14.15" customHeight="1">
      <c r="A20" s="7" t="n">
        <v>5</v>
      </c>
      <c r="B20" s="8" t="inlineStr">
        <is>
          <t>Facial bed</t>
        </is>
      </c>
      <c r="C20" s="9" t="n">
        <v>5</v>
      </c>
      <c r="D20" s="9" t="n">
        <v>0</v>
      </c>
      <c r="E20" s="9" t="n">
        <v>8</v>
      </c>
      <c r="F20" s="9">
        <f>IFERROR(MIN(C20,D20)*E20/C20,0)</f>
        <v/>
      </c>
      <c r="G20" s="9" t="n"/>
    </row>
    <row r="21" ht="14.15" customHeight="1">
      <c r="A21" s="7" t="n">
        <v>6</v>
      </c>
      <c r="B21" s="8" t="inlineStr">
        <is>
          <t>Manicure and pedicure table</t>
        </is>
      </c>
      <c r="C21" s="9" t="n">
        <v>5</v>
      </c>
      <c r="D21" s="9" t="n">
        <v>0</v>
      </c>
      <c r="E21" s="9" t="n">
        <v>8</v>
      </c>
      <c r="F21" s="9">
        <f>IFERROR(MIN(C21,D21)*E21/C21,0)</f>
        <v/>
      </c>
      <c r="G21" s="9" t="n"/>
    </row>
    <row r="22" ht="14.15" customHeight="1">
      <c r="A22" s="7" t="n">
        <v>7</v>
      </c>
      <c r="B22" s="8" t="inlineStr">
        <is>
          <t>Threading chair</t>
        </is>
      </c>
      <c r="C22" s="9" t="n">
        <v>5</v>
      </c>
      <c r="D22" s="9" t="n">
        <v>0</v>
      </c>
      <c r="E22" s="9" t="n">
        <v>7</v>
      </c>
      <c r="F22" s="9">
        <f>IFERROR(MIN(C22,D22)*E22/C22,0)</f>
        <v/>
      </c>
      <c r="G22" s="9" t="n"/>
    </row>
    <row r="23" ht="14.15" customHeight="1">
      <c r="A23" s="7" t="n">
        <v>8</v>
      </c>
      <c r="B23" s="8" t="inlineStr">
        <is>
          <t>Shampoo bed</t>
        </is>
      </c>
      <c r="C23" s="9" t="n">
        <v>2</v>
      </c>
      <c r="D23" s="9" t="n">
        <v>0</v>
      </c>
      <c r="E23" s="9" t="n">
        <v>7</v>
      </c>
      <c r="F23" s="9">
        <f>IFERROR(MIN(C23,D23)*E23/C23,0)</f>
        <v/>
      </c>
      <c r="G23" s="9" t="n"/>
    </row>
    <row r="24" ht="14.15" customHeight="1">
      <c r="A24" s="7" t="n">
        <v>9</v>
      </c>
      <c r="B24" s="8" t="inlineStr">
        <is>
          <t>Steam machine (face)</t>
        </is>
      </c>
      <c r="C24" s="9" t="n">
        <v>5</v>
      </c>
      <c r="D24" s="9" t="n">
        <v>0</v>
      </c>
      <c r="E24" s="9" t="n">
        <v>8</v>
      </c>
      <c r="F24" s="9">
        <f>IFERROR(MIN(C24,D24)*E24/C24,0)</f>
        <v/>
      </c>
      <c r="G24" s="9" t="n"/>
    </row>
    <row r="25" ht="14.15" customHeight="1">
      <c r="A25" s="7" t="n">
        <v>10</v>
      </c>
      <c r="B25" s="8" t="inlineStr">
        <is>
          <t>Steam machine (hair)</t>
        </is>
      </c>
      <c r="C25" s="9" t="n">
        <v>2</v>
      </c>
      <c r="D25" s="9" t="n">
        <v>0</v>
      </c>
      <c r="E25" s="9" t="n">
        <v>8</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6</v>
      </c>
      <c r="F30" s="9">
        <f>IFERROR(MIN(C30,D30)*E30/C30,0)</f>
        <v/>
      </c>
      <c r="G30" s="9" t="n"/>
    </row>
    <row r="31" ht="14.15" customHeight="1">
      <c r="A31" s="7" t="n">
        <v>16</v>
      </c>
      <c r="B31" s="8" t="inlineStr">
        <is>
          <t>Facial machine (3 in one)</t>
        </is>
      </c>
      <c r="C31" s="9" t="n">
        <v>2</v>
      </c>
      <c r="D31" s="9" t="n">
        <v>0</v>
      </c>
      <c r="E31" s="9" t="n">
        <v>9</v>
      </c>
      <c r="F31" s="9">
        <f>IFERROR(MIN(C31,D31)*E31/C31,0)</f>
        <v/>
      </c>
      <c r="G31" s="9" t="n"/>
    </row>
    <row r="32" ht="14.15" customHeight="1">
      <c r="A32" s="7" t="n">
        <v>17</v>
      </c>
      <c r="B32" s="8" t="inlineStr">
        <is>
          <t>Wax heater</t>
        </is>
      </c>
      <c r="C32" s="9" t="n">
        <v>5</v>
      </c>
      <c r="D32" s="9" t="n">
        <v>0</v>
      </c>
      <c r="E32" s="9" t="n">
        <v>7</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4</v>
      </c>
      <c r="F20" s="9">
        <f>IFERROR(MIN(C20,D20)*E20/C20,0)</f>
        <v/>
      </c>
      <c r="G20" s="9" t="n"/>
    </row>
    <row r="21" ht="14.15" customHeight="1">
      <c r="A21" s="7" t="n">
        <v>6</v>
      </c>
      <c r="B21" s="8" t="inlineStr">
        <is>
          <t>Cutting tools set for lathe machine</t>
        </is>
      </c>
      <c r="C21" s="9" t="n">
        <v>2</v>
      </c>
      <c r="D21" s="9" t="n">
        <v>0</v>
      </c>
      <c r="E21" s="9" t="n">
        <v>7</v>
      </c>
      <c r="F21" s="9">
        <f>IFERROR(MIN(C21,D21)*E21/C21,0)</f>
        <v/>
      </c>
      <c r="G21" s="9" t="n"/>
    </row>
    <row r="22" ht="14.15" customHeight="1">
      <c r="A22" s="7" t="n">
        <v>7</v>
      </c>
      <c r="B22" s="8" t="inlineStr">
        <is>
          <t>Cutting tools set for milling machine</t>
        </is>
      </c>
      <c r="C22" s="9" t="n">
        <v>2</v>
      </c>
      <c r="D22" s="9" t="n">
        <v>0</v>
      </c>
      <c r="E22" s="9" t="n">
        <v>7</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ht="14.15" customHeight="1">
      <c r="A25" s="7" t="n">
        <v>10</v>
      </c>
      <c r="B25" s="8" t="inlineStr">
        <is>
          <t>Tool Grinding Machine</t>
        </is>
      </c>
      <c r="C25" s="9" t="n">
        <v>1</v>
      </c>
      <c r="D25" s="9" t="n">
        <v>0</v>
      </c>
      <c r="E25" s="9" t="n">
        <v>6</v>
      </c>
      <c r="F25" s="9">
        <f>IFERROR(MIN(C25,D25)*E25/C25,0)</f>
        <v/>
      </c>
      <c r="G25" s="9" t="n"/>
    </row>
    <row r="26" ht="14.15" customHeight="1">
      <c r="A26" s="7" t="n">
        <v>11</v>
      </c>
      <c r="B26" s="8" t="inlineStr">
        <is>
          <t>Clamping Device</t>
        </is>
      </c>
      <c r="C26" s="9" t="n">
        <v>2</v>
      </c>
      <c r="D26" s="9" t="n">
        <v>0</v>
      </c>
      <c r="E26" s="9" t="n">
        <v>4</v>
      </c>
      <c r="F26" s="9">
        <f>IFERROR(MIN(C26,D26)*E26/C26,0)</f>
        <v/>
      </c>
      <c r="G26" s="9" t="inlineStr">
        <is>
          <t>2 Set</t>
        </is>
      </c>
    </row>
    <row r="27" ht="14.15" customHeight="1">
      <c r="A27" s="7" t="n">
        <v>12</v>
      </c>
      <c r="B27" s="8" t="inlineStr">
        <is>
          <t>Machine vice</t>
        </is>
      </c>
      <c r="C27" s="9" t="n">
        <v>1</v>
      </c>
      <c r="D27" s="9" t="n">
        <v>0</v>
      </c>
      <c r="E27" s="9" t="n">
        <v>4</v>
      </c>
      <c r="F27" s="9">
        <f>IFERROR(MIN(C27,D27)*E27/C27,0)</f>
        <v/>
      </c>
      <c r="G27" s="9" t="n"/>
    </row>
    <row r="28" ht="14.15" customHeight="1">
      <c r="A28" s="7" t="n">
        <v>13</v>
      </c>
      <c r="B28" s="8" t="inlineStr">
        <is>
          <t>Hand grinding machine</t>
        </is>
      </c>
      <c r="C28" s="9" t="n">
        <v>1</v>
      </c>
      <c r="D28" s="9" t="n">
        <v>0</v>
      </c>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7</v>
      </c>
      <c r="F18" s="9">
        <f>IFERROR(MIN(C18,D18)*E18/C18,0)</f>
        <v/>
      </c>
      <c r="G18" s="9" t="n"/>
    </row>
    <row r="19" ht="14.15" customHeight="1">
      <c r="A19" s="7" t="n">
        <v>4</v>
      </c>
      <c r="B19" s="8" t="inlineStr">
        <is>
          <t>Juicer</t>
        </is>
      </c>
      <c r="C19" s="9" t="n">
        <v>1</v>
      </c>
      <c r="D19" s="9" t="n">
        <v>0</v>
      </c>
      <c r="E19" s="9" t="n">
        <v>5</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3</v>
      </c>
      <c r="F26" s="9">
        <f>IFERROR(MIN(C26,D26)*E26/C26,0)</f>
        <v/>
      </c>
      <c r="G26" s="9" t="n"/>
    </row>
    <row r="27" ht="14.15" customHeight="1">
      <c r="A27" s="7" t="n">
        <v>12</v>
      </c>
      <c r="B27" s="8" t="inlineStr">
        <is>
          <t>Table cloth</t>
        </is>
      </c>
      <c r="C27" s="9" t="n">
        <v>4</v>
      </c>
      <c r="D27" s="9" t="n">
        <v>0</v>
      </c>
      <c r="E27" s="9" t="n">
        <v>3</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3</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3</v>
      </c>
      <c r="F34" s="9">
        <f>IFERROR(MIN(C34,D34)*E34/C34,0)</f>
        <v/>
      </c>
      <c r="G34" s="9" t="n"/>
    </row>
    <row r="35" ht="14.15" customHeight="1">
      <c r="A35" s="7" t="n">
        <v>20</v>
      </c>
      <c r="B35" s="8" t="inlineStr">
        <is>
          <t>Menu card</t>
        </is>
      </c>
      <c r="C35" s="9" t="n">
        <v>16</v>
      </c>
      <c r="D35" s="9" t="n">
        <v>0</v>
      </c>
      <c r="E35" s="9" t="n">
        <v>3</v>
      </c>
      <c r="F35" s="9">
        <f>IFERROR(MIN(C35,D35)*E35/C35,0)</f>
        <v/>
      </c>
      <c r="G35" s="9" t="n"/>
    </row>
    <row r="36" ht="14.15" customHeight="1">
      <c r="A36" s="7" t="n">
        <v>21</v>
      </c>
      <c r="B36" s="8" t="inlineStr">
        <is>
          <t>KOT (Kitchen Order Token)</t>
        </is>
      </c>
      <c r="C36" s="9" t="n">
        <v>10</v>
      </c>
      <c r="D36" s="9" t="n">
        <v>0</v>
      </c>
      <c r="E36" s="9" t="n">
        <v>3</v>
      </c>
      <c r="F36" s="9">
        <f>IFERROR(MIN(C36,D36)*E36/C36,0)</f>
        <v/>
      </c>
      <c r="G36" s="9" t="n"/>
    </row>
    <row r="37" ht="14.15" customHeight="1">
      <c r="A37" s="7" t="n">
        <v>22</v>
      </c>
      <c r="B37" s="8" t="inlineStr">
        <is>
          <t>Bread basket</t>
        </is>
      </c>
      <c r="C37" s="9" t="n">
        <v>8</v>
      </c>
      <c r="D37" s="9" t="n">
        <v>0</v>
      </c>
      <c r="E37" s="9" t="n">
        <v>3</v>
      </c>
      <c r="F37" s="9">
        <f>IFERROR(MIN(C37,D37)*E37/C37,0)</f>
        <v/>
      </c>
      <c r="G37" s="9" t="n"/>
    </row>
    <row r="38" ht="14.15" customHeight="1">
      <c r="A38" s="7" t="n">
        <v>23</v>
      </c>
      <c r="B38" s="8" t="inlineStr">
        <is>
          <t>Service utensils (Tong, service spoon, service fork, soup ladle)</t>
        </is>
      </c>
      <c r="C38" s="9" t="n">
        <v>4</v>
      </c>
      <c r="D38" s="9" t="n">
        <v>0</v>
      </c>
      <c r="E38" s="9" t="n">
        <v>5</v>
      </c>
      <c r="F38" s="9">
        <f>IFERROR(MIN(C38,D38)*E38/C38,0)</f>
        <v/>
      </c>
      <c r="G38" s="9" t="n"/>
    </row>
    <row r="39" ht="14.15" customHeight="1">
      <c r="A39" s="7" t="n">
        <v>24</v>
      </c>
      <c r="B39" s="8" t="inlineStr">
        <is>
          <t>Salver tray</t>
        </is>
      </c>
      <c r="C39" s="9" t="n">
        <v>8</v>
      </c>
      <c r="D39" s="9" t="n">
        <v>0</v>
      </c>
      <c r="E39" s="9" t="n">
        <v>3</v>
      </c>
      <c r="F39" s="9">
        <f>IFERROR(MIN(C39,D39)*E39/C39,0)</f>
        <v/>
      </c>
      <c r="G39" s="9" t="n"/>
    </row>
    <row r="40" ht="14.15" customHeight="1">
      <c r="A40" s="7" t="n">
        <v>25</v>
      </c>
      <c r="B40" s="8" t="inlineStr">
        <is>
          <t>Long tray</t>
        </is>
      </c>
      <c r="C40" s="9" t="n">
        <v>4</v>
      </c>
      <c r="D40" s="9" t="n">
        <v>0</v>
      </c>
      <c r="E40" s="9" t="n">
        <v>3</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2026-09-09T07:07:32Z</dcterms:modified>
</cp:coreProperties>
</file>
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vanced Auto Mechanic" sheetId="1" state="visible" r:id="rId1"/>
    <sheet xmlns:r="http://schemas.openxmlformats.org/officeDocument/2006/relationships" name="Graphic and UI Design" sheetId="2" state="visible" r:id="rId2"/>
    <sheet xmlns:r="http://schemas.openxmlformats.org/officeDocument/2006/relationships" name="Hotel Housekeeping" sheetId="3" state="visible" r:id="rId3"/>
    <sheet xmlns:r="http://schemas.openxmlformats.org/officeDocument/2006/relationships" name="HVAC" sheetId="4" state="visible" r:id="rId4"/>
    <sheet xmlns:r="http://schemas.openxmlformats.org/officeDocument/2006/relationships" name="Industrial Electronics" sheetId="5" state="visible" r:id="rId5"/>
    <sheet xmlns:r="http://schemas.openxmlformats.org/officeDocument/2006/relationships" name="IT Support Service" sheetId="6" state="visible" r:id="rId6"/>
    <sheet xmlns:r="http://schemas.openxmlformats.org/officeDocument/2006/relationships" name="Machine Shop Practice" sheetId="7" state="visible" r:id="rId7"/>
    <sheet xmlns:r="http://schemas.openxmlformats.org/officeDocument/2006/relationships" name="Marine Engine Artificer" sheetId="8" state="visible" r:id="rId8"/>
    <sheet xmlns:r="http://schemas.openxmlformats.org/officeDocument/2006/relationships" name="Masonry and Rod Binding" sheetId="9" state="visible" r:id="rId9"/>
    <sheet xmlns:r="http://schemas.openxmlformats.org/officeDocument/2006/relationships" name="Mobile Phone Servicing" sheetId="10" state="visible" r:id="rId10"/>
    <sheet xmlns:r="http://schemas.openxmlformats.org/officeDocument/2006/relationships" name="PLC Operation" sheetId="11" state="visible" r:id="rId11"/>
    <sheet xmlns:r="http://schemas.openxmlformats.org/officeDocument/2006/relationships" name="Advanced Culinary Art" sheetId="12" state="visible" r:id="rId12"/>
    <sheet xmlns:r="http://schemas.openxmlformats.org/officeDocument/2006/relationships" name="Plumbing and Pipe Fitting" sheetId="13" state="visible" r:id="rId13"/>
    <sheet xmlns:r="http://schemas.openxmlformats.org/officeDocument/2006/relationships" name="Quality Control Management" sheetId="14" state="visible" r:id="rId14"/>
    <sheet xmlns:r="http://schemas.openxmlformats.org/officeDocument/2006/relationships" name="Refrigeration and AC" sheetId="15" state="visible" r:id="rId15"/>
    <sheet xmlns:r="http://schemas.openxmlformats.org/officeDocument/2006/relationships" name="Scaffolding" sheetId="16" state="visible" r:id="rId16"/>
    <sheet xmlns:r="http://schemas.openxmlformats.org/officeDocument/2006/relationships" name="Ship Piping" sheetId="17" state="visible" r:id="rId17"/>
    <sheet xmlns:r="http://schemas.openxmlformats.org/officeDocument/2006/relationships" name="Ship Safety Firefighting" sheetId="18" state="visible" r:id="rId18"/>
    <sheet xmlns:r="http://schemas.openxmlformats.org/officeDocument/2006/relationships" name="Substation Maintenance" sheetId="19" state="visible" r:id="rId19"/>
    <sheet xmlns:r="http://schemas.openxmlformats.org/officeDocument/2006/relationships" name="Ship Painting" sheetId="20" state="visible" r:id="rId20"/>
    <sheet xmlns:r="http://schemas.openxmlformats.org/officeDocument/2006/relationships" name="Agri Machinery O&amp;M" sheetId="21" state="visible" r:id="rId21"/>
    <sheet xmlns:r="http://schemas.openxmlformats.org/officeDocument/2006/relationships" name="Road Roller &amp; Excavator" sheetId="22" state="visible" r:id="rId22"/>
    <sheet xmlns:r="http://schemas.openxmlformats.org/officeDocument/2006/relationships" name="Adv Sewing Machine Op" sheetId="23" state="visible" r:id="rId23"/>
    <sheet xmlns:r="http://schemas.openxmlformats.org/officeDocument/2006/relationships" name="Crane and Forklift" sheetId="24" state="visible" r:id="rId24"/>
    <sheet xmlns:r="http://schemas.openxmlformats.org/officeDocument/2006/relationships" name="Advanced Welding 4G5G6G" sheetId="25" state="visible" r:id="rId25"/>
    <sheet xmlns:r="http://schemas.openxmlformats.org/officeDocument/2006/relationships" name="Beautification" sheetId="26" state="visible" r:id="rId26"/>
    <sheet xmlns:r="http://schemas.openxmlformats.org/officeDocument/2006/relationships" name="CAD CAM Design &amp; CNC" sheetId="27" state="visible" r:id="rId27"/>
    <sheet xmlns:r="http://schemas.openxmlformats.org/officeDocument/2006/relationships" name="EIM Construction" sheetId="28" state="visible" r:id="rId28"/>
    <sheet xmlns:r="http://schemas.openxmlformats.org/officeDocument/2006/relationships" name="EIM Industry" sheetId="29" state="visible" r:id="rId29"/>
    <sheet xmlns:r="http://schemas.openxmlformats.org/officeDocument/2006/relationships" name="Food and Beverage Service" sheetId="30" state="visible" r:id="rId3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Auto Mechanics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Auto Mechanics</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Auto Mechanics,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t>
        </is>
      </c>
      <c r="C16" s="9" t="n">
        <v>2</v>
      </c>
      <c r="D16" s="9" t="n">
        <v>0</v>
      </c>
      <c r="E16" s="9" t="n">
        <v>5</v>
      </c>
      <c r="F16" s="9">
        <f>IFERROR(MIN(C16,D16)*E16/C16,0)</f>
        <v/>
      </c>
      <c r="G16" s="9" t="n"/>
    </row>
    <row r="17" ht="14.15" customHeight="1">
      <c r="A17" s="14" t="n">
        <v>2</v>
      </c>
      <c r="B17" s="8" t="inlineStr">
        <is>
          <t>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Carburettor engine</t>
        </is>
      </c>
      <c r="C19" s="9" t="n">
        <v>2</v>
      </c>
      <c r="D19" s="9" t="n">
        <v>0</v>
      </c>
      <c r="E19" s="9" t="n">
        <v>9</v>
      </c>
      <c r="F19" s="9">
        <f>IFERROR(MIN(C19,D19)*E19/C19,0)</f>
        <v/>
      </c>
      <c r="G19" s="9" t="n"/>
    </row>
    <row r="20" ht="14.15" customHeight="1">
      <c r="A20" s="14" t="n">
        <v>5</v>
      </c>
      <c r="B20" s="8" t="inlineStr">
        <is>
          <t>EFI engine</t>
        </is>
      </c>
      <c r="C20" s="9" t="n">
        <v>4</v>
      </c>
      <c r="D20" s="9" t="n">
        <v>0</v>
      </c>
      <c r="E20" s="9" t="n">
        <v>9</v>
      </c>
      <c r="F20" s="9">
        <f>IFERROR(MIN(C20,D20)*E20/C20,0)</f>
        <v/>
      </c>
      <c r="G20" s="9" t="n"/>
    </row>
    <row r="21" ht="14.15" customHeight="1">
      <c r="A21" s="14" t="n">
        <v>6</v>
      </c>
      <c r="B21" s="8" t="inlineStr">
        <is>
          <t>VVTi engine</t>
        </is>
      </c>
      <c r="C21" s="9" t="n">
        <v>2</v>
      </c>
      <c r="D21" s="9" t="n">
        <v>0</v>
      </c>
      <c r="E21" s="9" t="n">
        <v>8</v>
      </c>
      <c r="F21" s="9">
        <f>IFERROR(MIN(C21,D21)*E21/C21,0)</f>
        <v/>
      </c>
      <c r="G21" s="9" t="n"/>
    </row>
    <row r="22" ht="14.15" customHeight="1">
      <c r="A22" s="14" t="n">
        <v>7</v>
      </c>
      <c r="B22" s="8" t="inlineStr">
        <is>
          <t>Hybrid engine</t>
        </is>
      </c>
      <c r="C22" s="9" t="n">
        <v>1</v>
      </c>
      <c r="D22" s="9" t="n">
        <v>0</v>
      </c>
      <c r="E22" s="9" t="n">
        <v>9</v>
      </c>
      <c r="F22" s="9">
        <f>IFERROR(MIN(C22,D22)*E22/C22,0)</f>
        <v/>
      </c>
      <c r="G22" s="9" t="n"/>
    </row>
    <row r="23" ht="14.15" customHeight="1">
      <c r="A23" s="14" t="n">
        <v>8</v>
      </c>
      <c r="B23" s="8" t="inlineStr">
        <is>
          <t>Manual gear system</t>
        </is>
      </c>
      <c r="C23" s="9" t="n">
        <v>2</v>
      </c>
      <c r="D23" s="9" t="n">
        <v>0</v>
      </c>
      <c r="E23" s="9" t="n">
        <v>8</v>
      </c>
      <c r="F23" s="9">
        <f>IFERROR(MIN(C23,D23)*E23/C23,0)</f>
        <v/>
      </c>
      <c r="G23" s="9" t="n"/>
    </row>
    <row r="24" ht="14.15" customHeight="1">
      <c r="A24" s="14" t="n">
        <v>9</v>
      </c>
      <c r="B24" s="8" t="inlineStr">
        <is>
          <t>Power gear system</t>
        </is>
      </c>
      <c r="C24" s="9" t="n">
        <v>2</v>
      </c>
      <c r="D24" s="9" t="n">
        <v>0</v>
      </c>
      <c r="E24" s="9" t="n">
        <v>7</v>
      </c>
      <c r="F24" s="9">
        <f>IFERROR(MIN(C24,D24)*E24/C24,0)</f>
        <v/>
      </c>
      <c r="G24" s="9" t="n"/>
    </row>
    <row r="25" ht="14.15" customHeight="1">
      <c r="A25" s="14" t="n">
        <v>10</v>
      </c>
      <c r="B25" s="8" t="inlineStr">
        <is>
          <t>Power transmission system</t>
        </is>
      </c>
      <c r="C25" s="9" t="n">
        <v>1</v>
      </c>
      <c r="D25" s="9" t="n">
        <v>0</v>
      </c>
      <c r="E25" s="9" t="n">
        <v>7</v>
      </c>
      <c r="F25" s="9">
        <f>IFERROR(MIN(C25,D25)*E25/C25,0)</f>
        <v/>
      </c>
      <c r="G25" s="9" t="n"/>
    </row>
    <row r="26" ht="14.15" customHeight="1">
      <c r="A26" s="14" t="n">
        <v>11</v>
      </c>
      <c r="B26" s="8" t="inlineStr">
        <is>
          <t>Tire changer machine</t>
        </is>
      </c>
      <c r="C26" s="9" t="n">
        <v>1</v>
      </c>
      <c r="D26" s="9" t="n">
        <v>0</v>
      </c>
      <c r="E26" s="9" t="n">
        <v>6</v>
      </c>
      <c r="F26" s="9">
        <f>IFERROR(MIN(C26,D26)*E26/C26,0)</f>
        <v/>
      </c>
      <c r="G26" s="9" t="n"/>
    </row>
    <row r="27" ht="14.15" customHeight="1">
      <c r="A27" s="14" t="n">
        <v>12</v>
      </c>
      <c r="B27" s="8" t="inlineStr">
        <is>
          <t>Wheel balancing machine</t>
        </is>
      </c>
      <c r="C27" s="9" t="n">
        <v>1</v>
      </c>
      <c r="D27" s="9" t="n">
        <v>0</v>
      </c>
      <c r="E27" s="9" t="n">
        <v>6</v>
      </c>
      <c r="F27" s="9">
        <f>IFERROR(MIN(C27,D27)*E27/C27,0)</f>
        <v/>
      </c>
      <c r="G27" s="9" t="n"/>
    </row>
    <row r="28" ht="14.15" customHeight="1">
      <c r="A28" s="14" t="n">
        <v>13</v>
      </c>
      <c r="B28" s="8" t="inlineStr">
        <is>
          <t>Hydraulic lift</t>
        </is>
      </c>
      <c r="C28" s="9" t="n">
        <v>1</v>
      </c>
      <c r="D28" s="9" t="n">
        <v>0</v>
      </c>
      <c r="E28" s="9" t="n">
        <v>9</v>
      </c>
      <c r="F28" s="9">
        <f>IFERROR(MIN(C28,D28)*E28/C28,0)</f>
        <v/>
      </c>
      <c r="G28" s="9" t="n"/>
    </row>
    <row r="29" ht="14.15" customHeight="1">
      <c r="A29" s="14" t="n">
        <v>14</v>
      </c>
      <c r="B29" s="8" t="inlineStr">
        <is>
          <t>Gasoline injector cleaner</t>
        </is>
      </c>
      <c r="C29" s="9" t="n">
        <v>1</v>
      </c>
      <c r="D29" s="9" t="n">
        <v>0</v>
      </c>
      <c r="E29" s="9" t="n">
        <v>6</v>
      </c>
      <c r="F29" s="9">
        <f>IFERROR(MIN(C29,D29)*E29/C29,0)</f>
        <v/>
      </c>
      <c r="G29" s="9" t="n"/>
    </row>
    <row r="30" ht="14.15" customHeight="1">
      <c r="A30" s="14" t="n">
        <v>15</v>
      </c>
      <c r="B30" s="8" t="inlineStr">
        <is>
          <t>Exhaust gas analyser</t>
        </is>
      </c>
      <c r="C30" s="9" t="n">
        <v>1</v>
      </c>
      <c r="D30" s="9" t="n">
        <v>0</v>
      </c>
      <c r="E30" s="9" t="n">
        <v>7</v>
      </c>
      <c r="F30" s="9">
        <f>IFERROR(MIN(C30,D30)*E30/C30,0)</f>
        <v/>
      </c>
      <c r="G30" s="9" t="n"/>
    </row>
    <row r="31" ht="14.15" customHeight="1">
      <c r="A31" s="14" t="n">
        <v>16</v>
      </c>
      <c r="B31" s="8" t="inlineStr">
        <is>
          <t>Engine scanner</t>
        </is>
      </c>
      <c r="C31" s="9" t="n">
        <v>1</v>
      </c>
      <c r="D31" s="9" t="n">
        <v>0</v>
      </c>
      <c r="E31" s="9" t="n">
        <v>8</v>
      </c>
      <c r="F31" s="9">
        <f>IFERROR(MIN(C31,D31)*E31/C31,0)</f>
        <v/>
      </c>
      <c r="G31" s="9" t="n"/>
    </row>
    <row r="32" ht="14.15" customHeight="1">
      <c r="A32" s="14" t="n">
        <v>17</v>
      </c>
      <c r="B32" s="8" t="inlineStr">
        <is>
          <t>On board diagnostic (OBD) scanner</t>
        </is>
      </c>
      <c r="C32" s="9" t="n">
        <v>1</v>
      </c>
      <c r="D32" s="9" t="n">
        <v>0</v>
      </c>
      <c r="E32" s="9" t="n">
        <v>8</v>
      </c>
      <c r="F32" s="9">
        <f>IFERROR(MIN(C32,D32)*E32/C32,0)</f>
        <v/>
      </c>
      <c r="G32" s="9" t="n"/>
    </row>
    <row r="33" ht="14.15" customHeight="1">
      <c r="A33" s="14" t="n">
        <v>18</v>
      </c>
      <c r="B33" s="8" t="inlineStr">
        <is>
          <t>Cut-way engine model (Disel and Petrol)</t>
        </is>
      </c>
      <c r="C33" s="9" t="n">
        <v>1</v>
      </c>
      <c r="D33" s="9" t="n">
        <v>0</v>
      </c>
      <c r="E33" s="9" t="n">
        <v>8</v>
      </c>
      <c r="F33" s="9">
        <f>IFERROR(MIN(C33,D33)*E33/C33,0)</f>
        <v/>
      </c>
      <c r="G33" s="9" t="n"/>
    </row>
    <row r="34" ht="14.15" customHeight="1">
      <c r="A34" s="14" t="n">
        <v>19</v>
      </c>
      <c r="B34" s="8" t="inlineStr">
        <is>
          <t>Trainer board of auto electric system</t>
        </is>
      </c>
      <c r="C34" s="9" t="n">
        <v>1</v>
      </c>
      <c r="D34" s="9" t="n">
        <v>0</v>
      </c>
      <c r="E34" s="9" t="n">
        <v>7</v>
      </c>
      <c r="F34" s="9">
        <f>IFERROR(MIN(C34,D34)*E34/C34,0)</f>
        <v/>
      </c>
      <c r="G34" s="9" t="n"/>
    </row>
    <row r="35" ht="14.15" customHeight="1">
      <c r="A35" s="14" t="n">
        <v>20</v>
      </c>
      <c r="B35" s="8" t="inlineStr">
        <is>
          <t>Trainer board of brake system</t>
        </is>
      </c>
      <c r="C35" s="9" t="n">
        <v>1</v>
      </c>
      <c r="D35" s="9" t="n">
        <v>0</v>
      </c>
      <c r="E35" s="9" t="n">
        <v>7</v>
      </c>
      <c r="F35" s="9">
        <f>IFERROR(MIN(C35,D35)*E35/C35,0)</f>
        <v/>
      </c>
      <c r="G35" s="9" t="n"/>
    </row>
    <row r="36" ht="14.15" customHeight="1">
      <c r="A36" s="14" t="n">
        <v>21</v>
      </c>
      <c r="B36" s="8" t="inlineStr">
        <is>
          <t>Trainer board of transmission system</t>
        </is>
      </c>
      <c r="C36" s="9" t="n">
        <v>1</v>
      </c>
      <c r="D36" s="9" t="n">
        <v>0</v>
      </c>
      <c r="E36" s="9" t="n">
        <v>7</v>
      </c>
      <c r="F36" s="9">
        <f>IFERROR(MIN(C36,D36)*E36/C36,0)</f>
        <v/>
      </c>
      <c r="G36" s="9" t="n"/>
    </row>
    <row r="37" ht="14.15" customHeight="1">
      <c r="A37" s="14" t="n">
        <v>22</v>
      </c>
      <c r="B37" s="8" t="inlineStr">
        <is>
          <t>High pressure pump (Disel)</t>
        </is>
      </c>
      <c r="C37" s="9" t="n">
        <v>1</v>
      </c>
      <c r="D37" s="9" t="n">
        <v>0</v>
      </c>
      <c r="E37" s="9" t="n">
        <v>6</v>
      </c>
      <c r="F37" s="9">
        <f>IFERROR(MIN(C37,D37)*E37/C37,0)</f>
        <v/>
      </c>
      <c r="G37" s="9" t="n"/>
    </row>
    <row r="38" ht="14.15" customHeight="1">
      <c r="A38" s="14" t="n">
        <v>23</v>
      </c>
      <c r="B38" s="8" t="inlineStr">
        <is>
          <t>Complete tool box (with tools)</t>
        </is>
      </c>
      <c r="C38" s="9" t="n">
        <v>25</v>
      </c>
      <c r="D38" s="9" t="n">
        <v>0</v>
      </c>
      <c r="E38" s="9" t="n">
        <v>4</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2"/>
    <row r="3">
      <c r="A3" s="2" t="inlineStr">
        <is>
          <t>Course Name:</t>
        </is>
      </c>
      <c r="B3" s="2" t="inlineStr">
        <is>
          <t>Graphic and UI Design</t>
        </is>
      </c>
    </row>
    <row r="4" ht="26.85" customHeight="1">
      <c r="A4" s="2" t="inlineStr">
        <is>
          <t>Number of Trainees:</t>
        </is>
      </c>
      <c r="B4" s="2" t="n">
        <v>25</v>
      </c>
    </row>
    <row r="5"/>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Graphic and UI Design</t>
        </is>
      </c>
      <c r="C8" s="4" t="inlineStr">
        <is>
          <t>Classroom – 350 sft (33 sqm)
lab size – 500 sft (47 sqm)
OR
Classroom cum workshop – 500 sft (47 sqm)</t>
        </is>
      </c>
      <c r="D8" s="11" t="n"/>
      <c r="E8" s="11" t="n"/>
      <c r="F8" s="11" t="n"/>
      <c r="G8" s="12" t="n"/>
    </row>
    <row r="9"/>
    <row r="10"/>
    <row r="11">
      <c r="A11" s="3" t="inlineStr">
        <is>
          <t>Major Training Equipment and Training Facilities</t>
        </is>
      </c>
    </row>
    <row r="12"/>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Graphic and UI Design,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4"/>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Laptop/ Desktop (Minimum Intel core i5 or Intel core i3 8 gen/above, or AMD Ryzen similar spec; Ram: minimum 8 - 16 GB; Display: FHD monitor; Graphic Card: dedicated GPU 2GB; High Speed Internet (Minimum 10 Mbps); Graphic Design Software 
(Photoshop CC, Illustrator CC, InDesign, After Effects, CorelDraw); 3D Design Software (Blender, Cinema 4D or Autodesk Maya)</t>
        </is>
      </c>
      <c r="C16" s="9" t="n">
        <v>26</v>
      </c>
      <c r="D16" s="9" t="n">
        <v>0</v>
      </c>
      <c r="E16" s="9" t="n">
        <v>10</v>
      </c>
      <c r="F16" s="9">
        <f>IFERROR(MIN(C16,D16)*E16/C16,0)</f>
        <v/>
      </c>
      <c r="G16" s="9" t="n"/>
    </row>
    <row r="17" ht="14.15" customHeight="1">
      <c r="A17" s="14" t="n">
        <v>2</v>
      </c>
      <c r="B17" s="8" t="inlineStr">
        <is>
          <t>Power Backup (at least 01 hour)</t>
        </is>
      </c>
      <c r="C17" s="9" t="n">
        <v>26</v>
      </c>
      <c r="D17" s="9" t="n">
        <v>0</v>
      </c>
      <c r="E17" s="9" t="n">
        <v>6</v>
      </c>
      <c r="F17" s="9">
        <f>IFERROR(MIN(C17,D17)*E17/C17,0)</f>
        <v/>
      </c>
      <c r="G17" s="9" t="n"/>
    </row>
    <row r="18" ht="14.15" customHeight="1">
      <c r="A18" s="14" t="n">
        <v>3</v>
      </c>
      <c r="B18" s="8" t="inlineStr">
        <is>
          <t>Color Printer</t>
        </is>
      </c>
      <c r="C18" s="9" t="n">
        <v>1</v>
      </c>
      <c r="D18" s="9" t="n">
        <v>0</v>
      </c>
      <c r="E18" s="9" t="n">
        <v>6</v>
      </c>
      <c r="F18" s="9">
        <f>IFERROR(MIN(C18,D18)*E18/C18,0)</f>
        <v/>
      </c>
      <c r="G18" s="9" t="n"/>
    </row>
    <row r="19" ht="14.15" customHeight="1">
      <c r="A19" s="14" t="n">
        <v>4</v>
      </c>
      <c r="B19" s="8" t="inlineStr">
        <is>
          <t>Scanner</t>
        </is>
      </c>
      <c r="C19" s="9" t="n">
        <v>1</v>
      </c>
      <c r="D19" s="9" t="n">
        <v>0</v>
      </c>
      <c r="E19" s="9" t="n">
        <v>6</v>
      </c>
      <c r="F19" s="9">
        <f>IFERROR(MIN(C19,D19)*E19/C19,0)</f>
        <v/>
      </c>
      <c r="G19" s="9" t="n"/>
    </row>
    <row r="20" ht="14.15" customHeight="1">
      <c r="A20" s="14" t="n">
        <v>5</v>
      </c>
      <c r="B20" s="8" t="inlineStr">
        <is>
          <t>Projector or Large Display Screen</t>
        </is>
      </c>
      <c r="C20" s="9" t="n">
        <v>1</v>
      </c>
      <c r="D20" s="9" t="n">
        <v>0</v>
      </c>
      <c r="E20" s="9" t="n">
        <v>6</v>
      </c>
      <c r="F20" s="9">
        <f>IFERROR(MIN(C20,D20)*E20/C20,0)</f>
        <v/>
      </c>
      <c r="G20" s="9" t="n"/>
    </row>
    <row r="21" ht="14.15" customHeight="1">
      <c r="A21" s="14" t="n">
        <v>6</v>
      </c>
      <c r="B21" s="8" t="inlineStr">
        <is>
          <t>White board</t>
        </is>
      </c>
      <c r="C21" s="9" t="n">
        <v>1</v>
      </c>
      <c r="D21" s="9" t="n">
        <v>0</v>
      </c>
      <c r="E21" s="9" t="n">
        <v>4</v>
      </c>
      <c r="F21" s="9">
        <f>IFERROR(MIN(C21,D21)*E21/C21,0)</f>
        <v/>
      </c>
      <c r="G21" s="9" t="n"/>
    </row>
    <row r="22" ht="14.15" customHeight="1">
      <c r="A22" s="14" t="n">
        <v>7</v>
      </c>
      <c r="B22" s="8" t="inlineStr">
        <is>
          <t>Sound speaker and microphone</t>
        </is>
      </c>
      <c r="C22" s="9" t="n">
        <v>1</v>
      </c>
      <c r="D22" s="9" t="n">
        <v>0</v>
      </c>
      <c r="E22" s="9" t="n">
        <v>4</v>
      </c>
      <c r="F22" s="9">
        <f>IFERROR(MIN(C22,D22)*E22/C22,0)</f>
        <v/>
      </c>
      <c r="G22" s="9" t="n"/>
    </row>
    <row r="23" ht="14.15" customHeight="1">
      <c r="A23" s="14" t="n">
        <v>8</v>
      </c>
      <c r="B23" s="8" t="inlineStr">
        <is>
          <t>Ergonomic chairs and desks (Plastic chairs/stool not acceptable)</t>
        </is>
      </c>
      <c r="C23" s="9" t="n">
        <v>26</v>
      </c>
      <c r="D23" s="9" t="n">
        <v>0</v>
      </c>
      <c r="E23" s="9" t="n">
        <v>5</v>
      </c>
      <c r="F23" s="9">
        <f>IFERROR(MIN(C23,D23)*E23/C23,0)</f>
        <v/>
      </c>
      <c r="G23" s="9" t="n"/>
    </row>
    <row r="24">
      <c r="A24" s="15" t="inlineStr">
        <is>
          <t>Sum</t>
        </is>
      </c>
      <c r="B24" s="11" t="n"/>
      <c r="C24" s="11" t="n"/>
      <c r="D24" s="12" t="n"/>
      <c r="E24" s="15">
        <f>SUM(E16:E23)</f>
        <v/>
      </c>
      <c r="F24" s="15">
        <f>SUM(F16:F23)</f>
        <v/>
      </c>
      <c r="G24" s="13" t="n"/>
    </row>
    <row r="25">
      <c r="A25" s="15" t="inlineStr">
        <is>
          <t>Score out of 100</t>
        </is>
      </c>
      <c r="B25" s="11" t="n"/>
      <c r="C25" s="11" t="n"/>
      <c r="D25" s="11" t="n"/>
      <c r="E25" s="12" t="n"/>
      <c r="F25" s="15">
        <f>F24/E24*100</f>
        <v/>
      </c>
      <c r="G25" s="13" t="n"/>
    </row>
    <row r="26" ht="9.75" customHeight="1"/>
    <row r="27">
      <c r="A27" s="15" t="inlineStr">
        <is>
          <t xml:space="preserve">Total achieved points out of 30  </t>
        </is>
      </c>
      <c r="B27" s="11" t="n"/>
      <c r="C27" s="11" t="n"/>
      <c r="D27" s="11" t="n"/>
      <c r="E27" s="12" t="n"/>
      <c r="F27" s="15">
        <f>F25*30/100</f>
        <v/>
      </c>
      <c r="G27" s="15"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Hotel Housekeeping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Hotel Housekeeping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Hotel Housekeeping,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Complete set up of hotel room with twin bed and side table</t>
        </is>
      </c>
      <c r="C18" s="9" t="n">
        <v>1</v>
      </c>
      <c r="D18" s="9" t="n">
        <v>0</v>
      </c>
      <c r="E18" s="9" t="n">
        <v>9</v>
      </c>
      <c r="F18" s="9">
        <f>IFERROR(MIN(C18,D18)*E18/C18,0)</f>
        <v/>
      </c>
      <c r="G18" s="9" t="inlineStr">
        <is>
          <t>1 set</t>
        </is>
      </c>
    </row>
    <row r="19" ht="14.15" customHeight="1">
      <c r="A19" s="14" t="n">
        <v>4</v>
      </c>
      <c r="B19" s="8" t="inlineStr">
        <is>
          <t>A set of room materials comprising -
Hospitality tray (drinking water, tea kettle, sugar, coffee, tea, creamer, milk, cup, glass, saucers, spoon), 
Room directory 
Room collateral (Do Not Disturb (DND)/Privacy Please and makeup sign, brochure, minibar price list, room service menu) 
Note pad, Pen/Pencil
Tissue box 
Shoe horn
Laundry bag 
Slipper</t>
        </is>
      </c>
      <c r="C19" s="9" t="n">
        <v>1</v>
      </c>
      <c r="D19" s="9" t="n">
        <v>0</v>
      </c>
      <c r="E19" s="9" t="n">
        <v>8</v>
      </c>
      <c r="F19" s="9">
        <f>IFERROR(MIN(C19,D19)*E19/C19,0)</f>
        <v/>
      </c>
      <c r="G19" s="9" t="inlineStr">
        <is>
          <t>1 set</t>
        </is>
      </c>
    </row>
    <row r="20" ht="14.15" customHeight="1">
      <c r="A20" s="14" t="n">
        <v>5</v>
      </c>
      <c r="B20" s="8" t="inlineStr">
        <is>
          <t>Bin Basket</t>
        </is>
      </c>
      <c r="C20" s="9" t="n">
        <v>2</v>
      </c>
      <c r="D20" s="9" t="n">
        <v>0</v>
      </c>
      <c r="E20" s="9" t="n">
        <v>3</v>
      </c>
      <c r="F20" s="9">
        <f>IFERROR(MIN(C20,D20)*E20/C20,0)</f>
        <v/>
      </c>
      <c r="G20" s="9" t="n"/>
    </row>
    <row r="21" ht="14.15" customHeight="1">
      <c r="A21" s="14" t="n">
        <v>6</v>
      </c>
      <c r="B21" s="8" t="inlineStr">
        <is>
          <t>Complete set up of bathroom with bathtub</t>
        </is>
      </c>
      <c r="C21" s="9" t="n">
        <v>1</v>
      </c>
      <c r="D21" s="9" t="n">
        <v>0</v>
      </c>
      <c r="E21" s="9" t="n">
        <v>9</v>
      </c>
      <c r="F21" s="9">
        <f>IFERROR(MIN(C21,D21)*E21/C21,0)</f>
        <v/>
      </c>
      <c r="G21" s="9" t="n"/>
    </row>
    <row r="22" ht="14.15" customHeight="1">
      <c r="A22" s="14" t="n">
        <v>7</v>
      </c>
      <c r="B22" s="8" t="inlineStr">
        <is>
          <t>Bath room amenities: Soap (hand and bath), shampoo, Shower gel, Conditioner, Body lotion, Sanitary bag (women), Dental kit (Tooth paste and brush), Shaving kit, Loofa, Shower cap, Comb</t>
        </is>
      </c>
      <c r="C22" s="9" t="n">
        <v>1</v>
      </c>
      <c r="D22" s="9" t="n">
        <v>0</v>
      </c>
      <c r="E22" s="9" t="n">
        <v>6</v>
      </c>
      <c r="F22" s="9">
        <f>IFERROR(MIN(C22,D22)*E22/C22,0)</f>
        <v/>
      </c>
      <c r="G22" s="9" t="inlineStr">
        <is>
          <t>1 set</t>
        </is>
      </c>
    </row>
    <row r="23" ht="14.15" customHeight="1">
      <c r="A23" s="14" t="n">
        <v>8</v>
      </c>
      <c r="B23" s="8" t="inlineStr">
        <is>
          <t>Room attendant trolley</t>
        </is>
      </c>
      <c r="C23" s="9" t="n">
        <v>1</v>
      </c>
      <c r="D23" s="9" t="n">
        <v>0</v>
      </c>
      <c r="E23" s="9" t="n">
        <v>7</v>
      </c>
      <c r="F23" s="9">
        <f>IFERROR(MIN(C23,D23)*E23/C23,0)</f>
        <v/>
      </c>
      <c r="G23" s="9" t="n"/>
    </row>
    <row r="24" ht="14.15" customHeight="1">
      <c r="A24" s="14" t="n">
        <v>9</v>
      </c>
      <c r="B24" s="8" t="inlineStr">
        <is>
          <t>Air-Conditioner</t>
        </is>
      </c>
      <c r="C24" s="9" t="n">
        <v>1</v>
      </c>
      <c r="D24" s="9" t="n">
        <v>0</v>
      </c>
      <c r="E24" s="9" t="n">
        <v>5</v>
      </c>
      <c r="F24" s="9">
        <f>IFERROR(MIN(C24,D24)*E24/C24,0)</f>
        <v/>
      </c>
      <c r="G24" s="9" t="n"/>
    </row>
    <row r="25" ht="14.15" customHeight="1">
      <c r="A25" s="14" t="n">
        <v>10</v>
      </c>
      <c r="B25" s="8" t="inlineStr">
        <is>
          <t>Television (LED)</t>
        </is>
      </c>
      <c r="C25" s="9" t="n">
        <v>1</v>
      </c>
      <c r="D25" s="9" t="n">
        <v>0</v>
      </c>
      <c r="E25" s="9" t="n">
        <v>5</v>
      </c>
      <c r="F25" s="9">
        <f>IFERROR(MIN(C25,D25)*E25/C25,0)</f>
        <v/>
      </c>
      <c r="G25" s="9" t="n"/>
    </row>
    <row r="26" ht="14.15" customHeight="1">
      <c r="A26" s="14" t="n">
        <v>11</v>
      </c>
      <c r="B26" s="8" t="inlineStr">
        <is>
          <t>Minibar</t>
        </is>
      </c>
      <c r="C26" s="9" t="n">
        <v>1</v>
      </c>
      <c r="D26" s="9" t="n">
        <v>0</v>
      </c>
      <c r="E26" s="9" t="n">
        <v>5</v>
      </c>
      <c r="F26" s="9">
        <f>IFERROR(MIN(C26,D26)*E26/C26,0)</f>
        <v/>
      </c>
      <c r="G26" s="9" t="n"/>
    </row>
    <row r="27" ht="14.15" customHeight="1">
      <c r="A27" s="14" t="n">
        <v>12</v>
      </c>
      <c r="B27" s="8" t="inlineStr">
        <is>
          <t>Safe deposit box</t>
        </is>
      </c>
      <c r="C27" s="9" t="n">
        <v>1</v>
      </c>
      <c r="D27" s="9" t="n">
        <v>0</v>
      </c>
      <c r="E27" s="9" t="n">
        <v>5</v>
      </c>
      <c r="F27" s="9">
        <f>IFERROR(MIN(C27,D27)*E27/C27,0)</f>
        <v/>
      </c>
      <c r="G27" s="9" t="n"/>
    </row>
    <row r="28" ht="14.15" customHeight="1">
      <c r="A28" s="14" t="n">
        <v>13</v>
      </c>
      <c r="B28" s="8" t="inlineStr">
        <is>
          <t>Cub board with three types of hangers</t>
        </is>
      </c>
      <c r="C28" s="9" t="n">
        <v>1</v>
      </c>
      <c r="D28" s="9" t="n">
        <v>0</v>
      </c>
      <c r="E28" s="9" t="n">
        <v>5</v>
      </c>
      <c r="F28" s="9">
        <f>IFERROR(MIN(C28,D28)*E28/C28,0)</f>
        <v/>
      </c>
      <c r="G28" s="9" t="n"/>
    </row>
    <row r="29" ht="14.15" customHeight="1">
      <c r="A29" s="14" t="n">
        <v>14</v>
      </c>
      <c r="B29" s="8" t="inlineStr">
        <is>
          <t>Writing desk with chair</t>
        </is>
      </c>
      <c r="C29" s="9" t="n">
        <v>1</v>
      </c>
      <c r="D29" s="9" t="n">
        <v>0</v>
      </c>
      <c r="E29" s="9" t="n">
        <v>4</v>
      </c>
      <c r="F29" s="9">
        <f>IFERROR(MIN(C29,D29)*E29/C29,0)</f>
        <v/>
      </c>
      <c r="G29" s="9" t="n"/>
    </row>
    <row r="30" ht="14.15" customHeight="1">
      <c r="A30" s="14" t="n">
        <v>15</v>
      </c>
      <c r="B30" s="8" t="inlineStr">
        <is>
          <t>Linens (Bed sheet, Duvet and cover, pillow with cover, bed runner and bed cushion)</t>
        </is>
      </c>
      <c r="C30" s="9" t="n">
        <v>1</v>
      </c>
      <c r="D30" s="9" t="n">
        <v>0</v>
      </c>
      <c r="E30" s="9" t="n">
        <v>7</v>
      </c>
      <c r="F30" s="9">
        <f>IFERROR(MIN(C30,D30)*E30/C30,0)</f>
        <v/>
      </c>
      <c r="G30" s="9" t="inlineStr">
        <is>
          <t>1 set</t>
        </is>
      </c>
    </row>
    <row r="31" ht="14.15" customHeight="1">
      <c r="A31" s="14" t="n">
        <v>16</v>
      </c>
      <c r="B31" s="8" t="inlineStr">
        <is>
          <t>Terry (Bath towel, hand towel, face towel, bath met and bathrobe)</t>
        </is>
      </c>
      <c r="C31" s="9" t="n">
        <v>1</v>
      </c>
      <c r="D31" s="9" t="n">
        <v>0</v>
      </c>
      <c r="E31" s="9" t="n">
        <v>7</v>
      </c>
      <c r="F31" s="9">
        <f>IFERROR(MIN(C31,D31)*E31/C31,0)</f>
        <v/>
      </c>
      <c r="G31" s="9" t="inlineStr">
        <is>
          <t>1 set</t>
        </is>
      </c>
    </row>
    <row r="32" ht="14.15" customHeight="1">
      <c r="A32" s="14" t="n">
        <v>17</v>
      </c>
      <c r="B32" s="8" t="inlineStr">
        <is>
          <t>Hand iron with board</t>
        </is>
      </c>
      <c r="C32" s="9" t="n">
        <v>2</v>
      </c>
      <c r="D32" s="9" t="n">
        <v>0</v>
      </c>
      <c r="E32" s="9" t="n">
        <v>6</v>
      </c>
      <c r="F32" s="9">
        <f>IFERROR(MIN(C32,D32)*E32/C32,0)</f>
        <v/>
      </c>
      <c r="G32" s="9" t="n"/>
    </row>
    <row r="33" ht="14.15" customHeight="1">
      <c r="A33" s="14" t="n">
        <v>18</v>
      </c>
      <c r="B33" s="8" t="inlineStr">
        <is>
          <t>Hand Brush</t>
        </is>
      </c>
      <c r="C33" s="9" t="n">
        <v>5</v>
      </c>
      <c r="D33" s="9" t="n">
        <v>0</v>
      </c>
      <c r="E33" s="9" t="n">
        <v>3</v>
      </c>
      <c r="F33" s="9">
        <f>IFERROR(MIN(C33,D33)*E33/C33,0)</f>
        <v/>
      </c>
      <c r="G33" s="9" t="n"/>
    </row>
    <row r="34" ht="14.15" customHeight="1">
      <c r="A34" s="14" t="n">
        <v>19</v>
      </c>
      <c r="B34" s="8" t="inlineStr">
        <is>
          <t>Bucket</t>
        </is>
      </c>
      <c r="C34" s="9" t="n">
        <v>2</v>
      </c>
      <c r="D34" s="9" t="n">
        <v>0</v>
      </c>
      <c r="E34" s="9" t="n">
        <v>3</v>
      </c>
      <c r="F34" s="9">
        <f>IFERROR(MIN(C34,D34)*E34/C34,0)</f>
        <v/>
      </c>
      <c r="G34" s="9" t="n"/>
    </row>
    <row r="35" ht="14.15" customHeight="1">
      <c r="A35" s="14" t="n">
        <v>20</v>
      </c>
      <c r="B35" s="8" t="inlineStr">
        <is>
          <t>Telephone set</t>
        </is>
      </c>
      <c r="C35" s="9" t="n">
        <v>1</v>
      </c>
      <c r="D35" s="9" t="n">
        <v>0</v>
      </c>
      <c r="E35" s="9" t="n">
        <v>4</v>
      </c>
      <c r="F35" s="9">
        <f>IFERROR(MIN(C35,D35)*E35/C35,0)</f>
        <v/>
      </c>
      <c r="G35" s="9" t="n"/>
    </row>
    <row r="36" ht="14.15" customHeight="1">
      <c r="A36" s="14" t="n">
        <v>21</v>
      </c>
      <c r="B36" s="8" t="inlineStr">
        <is>
          <t>Tub chair and coffee table</t>
        </is>
      </c>
      <c r="C36" s="9" t="n">
        <v>1</v>
      </c>
      <c r="D36" s="9" t="n">
        <v>0</v>
      </c>
      <c r="E36" s="9" t="n">
        <v>4</v>
      </c>
      <c r="F36" s="9">
        <f>IFERROR(MIN(C36,D36)*E36/C36,0)</f>
        <v/>
      </c>
      <c r="G36" s="9" t="n"/>
    </row>
    <row r="37" ht="14.15" customHeight="1">
      <c r="A37" s="14" t="n">
        <v>22</v>
      </c>
      <c r="B37" s="8" t="inlineStr">
        <is>
          <t>Vacuum cleaner (wet and dry)</t>
        </is>
      </c>
      <c r="C37" s="9" t="n">
        <v>1</v>
      </c>
      <c r="D37" s="9" t="n">
        <v>0</v>
      </c>
      <c r="E37" s="9" t="n">
        <v>7</v>
      </c>
      <c r="F37" s="9">
        <f>IFERROR(MIN(C37,D37)*E37/C37,0)</f>
        <v/>
      </c>
      <c r="G37" s="9" t="n"/>
    </row>
    <row r="38" ht="14.15" customHeight="1">
      <c r="A38" s="14" t="n">
        <v>23</v>
      </c>
      <c r="B38" s="8" t="inlineStr">
        <is>
          <t>Glass wiper (short/long)</t>
        </is>
      </c>
      <c r="C38" s="9" t="n">
        <v>4</v>
      </c>
      <c r="D38" s="9" t="n">
        <v>0</v>
      </c>
      <c r="E38" s="9" t="n">
        <v>4</v>
      </c>
      <c r="F38" s="9">
        <f>IFERROR(MIN(C38,D38)*E38/C38,0)</f>
        <v/>
      </c>
      <c r="G38" s="9" t="n"/>
    </row>
    <row r="39" ht="14.15" customHeight="1">
      <c r="A39" s="14" t="n">
        <v>24</v>
      </c>
      <c r="B39" s="8" t="inlineStr">
        <is>
          <t>Squeezer (short/long)</t>
        </is>
      </c>
      <c r="C39" s="9" t="n">
        <v>4</v>
      </c>
      <c r="D39" s="9" t="n">
        <v>0</v>
      </c>
      <c r="E39" s="9" t="n">
        <v>4</v>
      </c>
      <c r="F39" s="9">
        <f>IFERROR(MIN(C39,D39)*E39/C39,0)</f>
        <v/>
      </c>
      <c r="G39" s="9" t="n"/>
    </row>
    <row r="40" ht="14.15" customHeight="1">
      <c r="A40" s="14" t="n">
        <v>25</v>
      </c>
      <c r="B40" s="8" t="inlineStr">
        <is>
          <t>Ladder</t>
        </is>
      </c>
      <c r="C40" s="9" t="n">
        <v>1</v>
      </c>
      <c r="D40" s="9" t="n">
        <v>0</v>
      </c>
      <c r="E40" s="9" t="n">
        <v>4</v>
      </c>
      <c r="F40" s="9">
        <f>IFERROR(MIN(C40,D40)*E40/C40,0)</f>
        <v/>
      </c>
      <c r="G40" s="9" t="n"/>
    </row>
    <row r="41" ht="14.15" customHeight="1">
      <c r="A41" s="14" t="n">
        <v>26</v>
      </c>
      <c r="B41" s="8" t="inlineStr">
        <is>
          <t>Hand caddie box</t>
        </is>
      </c>
      <c r="C41" s="9" t="n">
        <v>2</v>
      </c>
      <c r="D41" s="9" t="n">
        <v>0</v>
      </c>
      <c r="E41" s="9" t="n">
        <v>3</v>
      </c>
      <c r="F41" s="9">
        <f>IFERROR(MIN(C41,D41)*E41/C41,0)</f>
        <v/>
      </c>
      <c r="G41" s="9" t="n"/>
    </row>
    <row r="42" ht="14.15" customHeight="1">
      <c r="A42" s="14" t="n">
        <v>27</v>
      </c>
      <c r="B42" s="8" t="inlineStr">
        <is>
          <t>Prayer mat</t>
        </is>
      </c>
      <c r="C42" s="9" t="n">
        <v>1</v>
      </c>
      <c r="D42" s="9" t="n">
        <v>0</v>
      </c>
      <c r="E42" s="9" t="n">
        <v>3</v>
      </c>
      <c r="F42" s="9">
        <f>IFERROR(MIN(C42,D42)*E42/C42,0)</f>
        <v/>
      </c>
      <c r="G42" s="9" t="n"/>
    </row>
    <row r="43">
      <c r="A43" s="15" t="inlineStr">
        <is>
          <t>Sum</t>
        </is>
      </c>
      <c r="B43" s="11" t="n"/>
      <c r="C43" s="11" t="n"/>
      <c r="D43" s="12" t="n"/>
      <c r="E43" s="15">
        <f>SUM(E16:E42)</f>
        <v/>
      </c>
      <c r="F43" s="15">
        <f>SUM(F16:F42)</f>
        <v/>
      </c>
      <c r="G43" s="13" t="n"/>
    </row>
    <row r="44">
      <c r="A44" s="15" t="inlineStr">
        <is>
          <t>Score out of 100</t>
        </is>
      </c>
      <c r="B44" s="11" t="n"/>
      <c r="C44" s="11" t="n"/>
      <c r="D44" s="11" t="n"/>
      <c r="E44" s="12" t="n"/>
      <c r="F44" s="15">
        <f>F43/E43*100</f>
        <v/>
      </c>
      <c r="G44" s="13" t="n"/>
    </row>
    <row r="45" ht="9.75" customHeight="1"/>
    <row r="46">
      <c r="A46" s="15" t="inlineStr">
        <is>
          <t xml:space="preserve">Total achieved points out of 30  </t>
        </is>
      </c>
      <c r="B46" s="11" t="n"/>
      <c r="C46" s="11" t="n"/>
      <c r="D46" s="11" t="n"/>
      <c r="E46" s="12" t="n"/>
      <c r="F46" s="15">
        <f>F44*30/100</f>
        <v/>
      </c>
      <c r="G46" s="15"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Installation of Heating, Ventilation &amp; Air Conditioning (HVAC)</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Installation of Heating, Ventilation &amp; Air Conditioning (HVAC)</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Installation of Heating, Ventilation &amp; Air Conditioning (HVAC),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Chiller</t>
        </is>
      </c>
      <c r="C16" s="9" t="n">
        <v>1</v>
      </c>
      <c r="D16" s="9" t="n">
        <v>0</v>
      </c>
      <c r="E16" s="9" t="n">
        <v>9</v>
      </c>
      <c r="F16" s="9">
        <f>IFERROR(MIN(C16,D16)*E16/C16,0)</f>
        <v/>
      </c>
      <c r="G16" s="9" t="n"/>
    </row>
    <row r="17" ht="14.15" customHeight="1">
      <c r="A17" s="14" t="n">
        <v>2</v>
      </c>
      <c r="B17" s="8" t="inlineStr">
        <is>
          <t>Pump (Primary and Secondary)</t>
        </is>
      </c>
      <c r="C17" s="9" t="n">
        <v>2</v>
      </c>
      <c r="D17" s="9" t="n">
        <v>0</v>
      </c>
      <c r="E17" s="9" t="n">
        <v>8</v>
      </c>
      <c r="F17" s="9">
        <f>IFERROR(MIN(C17,D17)*E17/C17,0)</f>
        <v/>
      </c>
      <c r="G17" s="9" t="n"/>
    </row>
    <row r="18" ht="14.15" customHeight="1">
      <c r="A18" s="14" t="n">
        <v>3</v>
      </c>
      <c r="B18" s="8" t="inlineStr">
        <is>
          <t>Fan coil unit</t>
        </is>
      </c>
      <c r="C18" s="9" t="n">
        <v>1</v>
      </c>
      <c r="D18" s="9" t="n">
        <v>0</v>
      </c>
      <c r="E18" s="9" t="n">
        <v>8</v>
      </c>
      <c r="F18" s="9">
        <f>IFERROR(MIN(C18,D18)*E18/C18,0)</f>
        <v/>
      </c>
      <c r="G18" s="9" t="n"/>
    </row>
    <row r="19" ht="14.15" customHeight="1">
      <c r="A19" s="14" t="n">
        <v>4</v>
      </c>
      <c r="B19" s="8" t="inlineStr">
        <is>
          <t>Air handling unit</t>
        </is>
      </c>
      <c r="C19" s="9" t="n">
        <v>1</v>
      </c>
      <c r="D19" s="9" t="n">
        <v>0</v>
      </c>
      <c r="E19" s="9" t="n">
        <v>9</v>
      </c>
      <c r="F19" s="9">
        <f>IFERROR(MIN(C19,D19)*E19/C19,0)</f>
        <v/>
      </c>
      <c r="G19" s="9" t="n"/>
    </row>
    <row r="20" ht="14.15" customHeight="1">
      <c r="A20" s="14" t="n">
        <v>5</v>
      </c>
      <c r="B20" s="8" t="inlineStr">
        <is>
          <t>Ventilation fan</t>
        </is>
      </c>
      <c r="C20" s="9" t="n">
        <v>1</v>
      </c>
      <c r="D20" s="9" t="n">
        <v>0</v>
      </c>
      <c r="E20" s="9" t="n">
        <v>6</v>
      </c>
      <c r="F20" s="9">
        <f>IFERROR(MIN(C20,D20)*E20/C20,0)</f>
        <v/>
      </c>
      <c r="G20" s="9" t="n"/>
    </row>
    <row r="21" ht="14.15" customHeight="1">
      <c r="A21" s="14" t="n">
        <v>6</v>
      </c>
      <c r="B21" s="8" t="inlineStr">
        <is>
          <t>MS Pipe (2” Dia) each of 20’</t>
        </is>
      </c>
      <c r="C21" s="9" t="n">
        <v>4</v>
      </c>
      <c r="D21" s="9" t="n">
        <v>0</v>
      </c>
      <c r="E21" s="9" t="n">
        <v>4</v>
      </c>
      <c r="F21" s="9">
        <f>IFERROR(MIN(C21,D21)*E21/C21,0)</f>
        <v/>
      </c>
      <c r="G21" s="9" t="n"/>
    </row>
    <row r="22" ht="14.15" customHeight="1">
      <c r="A22" s="14" t="n">
        <v>7</v>
      </c>
      <c r="B22" s="8" t="inlineStr">
        <is>
          <t>MS Pipe (1” Dia) each of 20’</t>
        </is>
      </c>
      <c r="C22" s="9" t="n">
        <v>4</v>
      </c>
      <c r="D22" s="9" t="n">
        <v>0</v>
      </c>
      <c r="E22" s="9" t="n">
        <v>4</v>
      </c>
      <c r="F22" s="9">
        <f>IFERROR(MIN(C22,D22)*E22/C22,0)</f>
        <v/>
      </c>
      <c r="G22" s="9" t="n"/>
    </row>
    <row r="23" ht="14.15" customHeight="1">
      <c r="A23" s="14" t="n">
        <v>8</v>
      </c>
      <c r="B23" s="8" t="inlineStr">
        <is>
          <t>Copper tube (1/2”, 3/4”, 1” Dia) each of 1 coil</t>
        </is>
      </c>
      <c r="C23" s="9" t="n">
        <v>3</v>
      </c>
      <c r="D23" s="9" t="n">
        <v>0</v>
      </c>
      <c r="E23" s="9" t="n">
        <v>4</v>
      </c>
      <c r="F23" s="9">
        <f>IFERROR(MIN(C23,D23)*E23/C23,0)</f>
        <v/>
      </c>
      <c r="G23" s="9" t="n"/>
    </row>
    <row r="24" ht="14.15" customHeight="1">
      <c r="A24" s="14" t="n">
        <v>9</v>
      </c>
      <c r="B24" s="8" t="inlineStr">
        <is>
          <t>Gate valve (2”, and 1” Dia) each of 6 pcs</t>
        </is>
      </c>
      <c r="C24" s="9" t="n">
        <v>2</v>
      </c>
      <c r="D24" s="9" t="n">
        <v>0</v>
      </c>
      <c r="E24" s="9" t="n">
        <v>4</v>
      </c>
      <c r="F24" s="9">
        <f>IFERROR(MIN(C24,D24)*E24/C24,0)</f>
        <v/>
      </c>
      <c r="G24" s="9" t="n"/>
    </row>
    <row r="25" ht="14.15" customHeight="1">
      <c r="A25" s="14" t="n">
        <v>10</v>
      </c>
      <c r="B25" s="8" t="inlineStr">
        <is>
          <t>Chilled water control valve (1” and 2” Dia) each of 2 pcs</t>
        </is>
      </c>
      <c r="C25" s="9" t="n">
        <v>4</v>
      </c>
      <c r="D25" s="9" t="n">
        <v>0</v>
      </c>
      <c r="E25" s="9" t="n">
        <v>5</v>
      </c>
      <c r="F25" s="9">
        <f>IFERROR(MIN(C25,D25)*E25/C25,0)</f>
        <v/>
      </c>
      <c r="G25" s="9" t="n"/>
    </row>
    <row r="26" ht="14.15" customHeight="1">
      <c r="A26" s="14" t="n">
        <v>11</v>
      </c>
      <c r="B26" s="8" t="inlineStr">
        <is>
          <t>Flexible pipe joint (2”, and 1” Dia) each of 4 pcs</t>
        </is>
      </c>
      <c r="C26" s="9" t="n">
        <v>8</v>
      </c>
      <c r="D26" s="9" t="n">
        <v>0</v>
      </c>
      <c r="E26" s="9" t="n">
        <v>4</v>
      </c>
      <c r="F26" s="9">
        <f>IFERROR(MIN(C26,D26)*E26/C26,0)</f>
        <v/>
      </c>
      <c r="G26" s="9" t="n"/>
    </row>
    <row r="27" ht="14.15" customHeight="1">
      <c r="A27" s="14" t="n">
        <v>12</v>
      </c>
      <c r="B27" s="8" t="inlineStr">
        <is>
          <t>Cooling tower (8 ton)</t>
        </is>
      </c>
      <c r="C27" s="9" t="n">
        <v>1</v>
      </c>
      <c r="D27" s="9" t="n">
        <v>0</v>
      </c>
      <c r="E27" s="9" t="n">
        <v>9</v>
      </c>
      <c r="F27" s="9">
        <f>IFERROR(MIN(C27,D27)*E27/C27,0)</f>
        <v/>
      </c>
      <c r="G27" s="9" t="n"/>
    </row>
    <row r="28" ht="14.15" customHeight="1">
      <c r="A28" s="14" t="n">
        <v>13</v>
      </c>
      <c r="B28" s="8" t="inlineStr">
        <is>
          <t>Electrical control system</t>
        </is>
      </c>
      <c r="C28" s="9" t="n">
        <v>1</v>
      </c>
      <c r="D28" s="9" t="n">
        <v>0</v>
      </c>
      <c r="E28" s="9" t="n">
        <v>8</v>
      </c>
      <c r="F28" s="9">
        <f>IFERROR(MIN(C28,D28)*E28/C28,0)</f>
        <v/>
      </c>
      <c r="G28" s="9" t="n"/>
    </row>
    <row r="29">
      <c r="A29" s="15" t="inlineStr">
        <is>
          <t>Sum</t>
        </is>
      </c>
      <c r="B29" s="11" t="n"/>
      <c r="C29" s="11" t="n"/>
      <c r="D29" s="12" t="n"/>
      <c r="E29" s="15">
        <f>SUM(E16:E28)</f>
        <v/>
      </c>
      <c r="F29" s="15">
        <f>SUM(F16:F28)</f>
        <v/>
      </c>
      <c r="G29" s="13" t="n"/>
    </row>
    <row r="30">
      <c r="A30" s="15" t="inlineStr">
        <is>
          <t>Score out of 100</t>
        </is>
      </c>
      <c r="B30" s="11" t="n"/>
      <c r="C30" s="11" t="n"/>
      <c r="D30" s="11" t="n"/>
      <c r="E30" s="12" t="n"/>
      <c r="F30" s="15">
        <f>F29/E29*100</f>
        <v/>
      </c>
      <c r="G30" s="13" t="n"/>
    </row>
    <row r="31" ht="9.75" customHeight="1"/>
    <row r="32">
      <c r="A32" s="15" t="inlineStr">
        <is>
          <t xml:space="preserve">Total achieved points out of 30  </t>
        </is>
      </c>
      <c r="B32" s="11" t="n"/>
      <c r="C32" s="11" t="n"/>
      <c r="D32" s="11" t="n"/>
      <c r="E32" s="12" t="n"/>
      <c r="F32" s="15">
        <f>F30*30/100</f>
        <v/>
      </c>
      <c r="G32" s="15"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Electronics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Industrial Electronics</t>
        </is>
      </c>
      <c r="C8" s="4" t="inlineStr">
        <is>
          <t>Class room cum Workshop lab: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Electronics,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t>
        </is>
      </c>
      <c r="C16" s="9" t="n">
        <v>2</v>
      </c>
      <c r="D16" s="9" t="n">
        <v>0</v>
      </c>
      <c r="E16" s="9" t="n">
        <v>5</v>
      </c>
      <c r="F16" s="9">
        <f>IFERROR(MIN(C16,D16)*E16/C16,0)</f>
        <v/>
      </c>
      <c r="G16" s="9" t="n"/>
    </row>
    <row r="17" ht="14.15" customHeight="1">
      <c r="A17" s="14" t="n">
        <v>2</v>
      </c>
      <c r="B17" s="8" t="inlineStr">
        <is>
          <t>Printer</t>
        </is>
      </c>
      <c r="C17" s="9" t="n">
        <v>1</v>
      </c>
      <c r="D17" s="9" t="n">
        <v>0</v>
      </c>
      <c r="E17" s="9" t="n">
        <v>4</v>
      </c>
      <c r="F17" s="9">
        <f>IFERROR(MIN(C17,D17)*E17/C17,0)</f>
        <v/>
      </c>
      <c r="G17" s="9" t="n"/>
    </row>
    <row r="18" ht="14.15" customHeight="1">
      <c r="A18" s="14" t="n">
        <v>3</v>
      </c>
      <c r="B18" s="8" t="inlineStr">
        <is>
          <t>Multimedia Projector</t>
        </is>
      </c>
      <c r="C18" s="9" t="n">
        <v>1</v>
      </c>
      <c r="D18" s="9" t="n">
        <v>0</v>
      </c>
      <c r="E18" s="9" t="n">
        <v>5</v>
      </c>
      <c r="F18" s="9">
        <f>IFERROR(MIN(C18,D18)*E18/C18,0)</f>
        <v/>
      </c>
      <c r="G18" s="9" t="n"/>
    </row>
    <row r="19" ht="14.15" customHeight="1">
      <c r="A19" s="14" t="n">
        <v>4</v>
      </c>
      <c r="B19" s="8" t="inlineStr">
        <is>
          <t>PLC CPU</t>
        </is>
      </c>
      <c r="C19" s="9" t="n">
        <v>1</v>
      </c>
      <c r="D19" s="9" t="n">
        <v>0</v>
      </c>
      <c r="E19" s="9" t="n">
        <v>9</v>
      </c>
      <c r="F19" s="9">
        <f>IFERROR(MIN(C19,D19)*E19/C19,0)</f>
        <v/>
      </c>
      <c r="G19" s="9" t="n"/>
    </row>
    <row r="20" ht="14.15" customHeight="1">
      <c r="A20" s="14" t="n">
        <v>5</v>
      </c>
      <c r="B20" s="8" t="inlineStr">
        <is>
          <t>HMI</t>
        </is>
      </c>
      <c r="C20" s="9" t="n">
        <v>1</v>
      </c>
      <c r="D20" s="9" t="n">
        <v>0</v>
      </c>
      <c r="E20" s="9" t="n">
        <v>8</v>
      </c>
      <c r="F20" s="9">
        <f>IFERROR(MIN(C20,D20)*E20/C20,0)</f>
        <v/>
      </c>
      <c r="G20" s="9" t="n"/>
    </row>
    <row r="21" ht="14.15" customHeight="1">
      <c r="A21" s="14" t="n">
        <v>6</v>
      </c>
      <c r="B21" s="8" t="inlineStr">
        <is>
          <t>Drive (VFD)</t>
        </is>
      </c>
      <c r="C21" s="9" t="n">
        <v>1</v>
      </c>
      <c r="D21" s="9" t="n">
        <v>0</v>
      </c>
      <c r="E21" s="9" t="n">
        <v>8</v>
      </c>
      <c r="F21" s="9">
        <f>IFERROR(MIN(C21,D21)*E21/C21,0)</f>
        <v/>
      </c>
      <c r="G21" s="9" t="n"/>
    </row>
    <row r="22" ht="14.15" customHeight="1">
      <c r="A22" s="14" t="n">
        <v>7</v>
      </c>
      <c r="B22" s="8" t="inlineStr">
        <is>
          <t>Motor</t>
        </is>
      </c>
      <c r="C22" s="9" t="n">
        <v>1</v>
      </c>
      <c r="D22" s="9" t="n">
        <v>0</v>
      </c>
      <c r="E22" s="9" t="n">
        <v>7</v>
      </c>
      <c r="F22" s="9">
        <f>IFERROR(MIN(C22,D22)*E22/C22,0)</f>
        <v/>
      </c>
      <c r="G22" s="9" t="n"/>
    </row>
    <row r="23" ht="14.15" customHeight="1">
      <c r="A23" s="14" t="n">
        <v>8</v>
      </c>
      <c r="B23" s="8" t="inlineStr">
        <is>
          <t>SMD re-work station</t>
        </is>
      </c>
      <c r="C23" s="9" t="n">
        <v>10</v>
      </c>
      <c r="D23" s="9" t="n">
        <v>0</v>
      </c>
      <c r="E23" s="9" t="n">
        <v>8</v>
      </c>
      <c r="F23" s="9">
        <f>IFERROR(MIN(C23,D23)*E23/C23,0)</f>
        <v/>
      </c>
      <c r="G23" s="9" t="n"/>
    </row>
    <row r="24" ht="14.15" customHeight="1">
      <c r="A24" s="14" t="n">
        <v>9</v>
      </c>
      <c r="B24" s="8" t="inlineStr">
        <is>
          <t>Analog Output Module (AQ)</t>
        </is>
      </c>
      <c r="C24" s="9" t="n">
        <v>1</v>
      </c>
      <c r="D24" s="9" t="n">
        <v>0</v>
      </c>
      <c r="E24" s="9" t="n">
        <v>6</v>
      </c>
      <c r="F24" s="9">
        <f>IFERROR(MIN(C24,D24)*E24/C24,0)</f>
        <v/>
      </c>
      <c r="G24" s="9" t="n"/>
    </row>
    <row r="25" ht="14.15" customHeight="1">
      <c r="A25" s="14" t="n">
        <v>10</v>
      </c>
      <c r="B25" s="8" t="inlineStr">
        <is>
          <t>Ethernet/Profinet Cables</t>
        </is>
      </c>
      <c r="C25" s="9" t="n">
        <v>2</v>
      </c>
      <c r="D25" s="9" t="n">
        <v>0</v>
      </c>
      <c r="E25" s="9" t="n">
        <v>3</v>
      </c>
      <c r="F25" s="9">
        <f>IFERROR(MIN(C25,D25)*E25/C25,0)</f>
        <v/>
      </c>
      <c r="G25" s="9" t="n"/>
    </row>
    <row r="26" ht="14.15" customHeight="1">
      <c r="A26" s="14" t="n">
        <v>11</v>
      </c>
      <c r="B26" s="8" t="inlineStr">
        <is>
          <t>Multimeter</t>
        </is>
      </c>
      <c r="C26" s="9" t="n">
        <v>10</v>
      </c>
      <c r="D26" s="9" t="n">
        <v>0</v>
      </c>
      <c r="E26" s="9" t="n">
        <v>7</v>
      </c>
      <c r="F26" s="9">
        <f>IFERROR(MIN(C26,D26)*E26/C26,0)</f>
        <v/>
      </c>
      <c r="G26" s="9" t="n"/>
    </row>
    <row r="27" ht="14.15" customHeight="1">
      <c r="A27" s="14" t="n">
        <v>12</v>
      </c>
      <c r="B27" s="8" t="inlineStr">
        <is>
          <t>Power Supply Unit</t>
        </is>
      </c>
      <c r="C27" s="9" t="n">
        <v>10</v>
      </c>
      <c r="D27" s="9" t="n">
        <v>0</v>
      </c>
      <c r="E27" s="9" t="n">
        <v>6</v>
      </c>
      <c r="F27" s="9">
        <f>IFERROR(MIN(C27,D27)*E27/C27,0)</f>
        <v/>
      </c>
      <c r="G27" s="9" t="n"/>
    </row>
    <row r="28" ht="14.15" customHeight="1">
      <c r="A28" s="14" t="n">
        <v>13</v>
      </c>
      <c r="B28" s="8" t="inlineStr">
        <is>
          <t>Soldering Iron</t>
        </is>
      </c>
      <c r="C28" s="9" t="n">
        <v>25</v>
      </c>
      <c r="D28" s="9" t="n">
        <v>0</v>
      </c>
      <c r="E28" s="9" t="n">
        <v>6</v>
      </c>
      <c r="F28" s="9">
        <f>IFERROR(MIN(C28,D28)*E28/C28,0)</f>
        <v/>
      </c>
      <c r="G28" s="9" t="n"/>
    </row>
    <row r="29" ht="14.15" customHeight="1">
      <c r="A29" s="14" t="n">
        <v>14</v>
      </c>
      <c r="B29" s="8" t="inlineStr">
        <is>
          <t>Desoldering Pump</t>
        </is>
      </c>
      <c r="C29" s="9" t="n">
        <v>25</v>
      </c>
      <c r="D29" s="9" t="n">
        <v>0</v>
      </c>
      <c r="E29" s="9" t="n">
        <v>4</v>
      </c>
      <c r="F29" s="9">
        <f>IFERROR(MIN(C29,D29)*E29/C29,0)</f>
        <v/>
      </c>
      <c r="G29" s="9" t="n"/>
    </row>
    <row r="30" ht="14.15" customHeight="1">
      <c r="A30" s="14" t="n">
        <v>15</v>
      </c>
      <c r="B30" s="8" t="inlineStr">
        <is>
          <t>Oscilloscope</t>
        </is>
      </c>
      <c r="C30" s="9" t="n">
        <v>10</v>
      </c>
      <c r="D30" s="9" t="n">
        <v>0</v>
      </c>
      <c r="E30" s="9" t="n">
        <v>8</v>
      </c>
      <c r="F30" s="9">
        <f>IFERROR(MIN(C30,D30)*E30/C30,0)</f>
        <v/>
      </c>
      <c r="G30" s="9" t="n"/>
    </row>
    <row r="31" ht="14.15" customHeight="1">
      <c r="A31" s="14" t="n">
        <v>16</v>
      </c>
      <c r="B31" s="8" t="inlineStr">
        <is>
          <t>Wire Strippers</t>
        </is>
      </c>
      <c r="C31" s="9" t="n">
        <v>25</v>
      </c>
      <c r="D31" s="9" t="n">
        <v>0</v>
      </c>
      <c r="E31" s="9" t="n">
        <v>3</v>
      </c>
      <c r="F31" s="9">
        <f>IFERROR(MIN(C31,D31)*E31/C31,0)</f>
        <v/>
      </c>
      <c r="G31" s="9" t="n"/>
    </row>
    <row r="32" ht="14.15" customHeight="1">
      <c r="A32" s="14" t="n">
        <v>17</v>
      </c>
      <c r="B32" s="8" t="inlineStr">
        <is>
          <t>Crimping Tool</t>
        </is>
      </c>
      <c r="C32" s="9" t="n">
        <v>25</v>
      </c>
      <c r="D32" s="9" t="n">
        <v>0</v>
      </c>
      <c r="E32" s="9" t="n">
        <v>3</v>
      </c>
      <c r="F32" s="9">
        <f>IFERROR(MIN(C32,D32)*E32/C32,0)</f>
        <v/>
      </c>
      <c r="G32" s="9" t="n"/>
    </row>
    <row r="33" ht="14.15" customHeight="1">
      <c r="A33" s="14" t="n">
        <v>18</v>
      </c>
      <c r="B33" s="8" t="inlineStr">
        <is>
          <t>Screwdrivers and Pliers</t>
        </is>
      </c>
      <c r="C33" s="9" t="n">
        <v>25</v>
      </c>
      <c r="D33" s="9" t="n">
        <v>0</v>
      </c>
      <c r="E33" s="9" t="n">
        <v>3</v>
      </c>
      <c r="F33" s="9">
        <f>IFERROR(MIN(C33,D33)*E33/C33,0)</f>
        <v/>
      </c>
      <c r="G33" s="9" t="n"/>
    </row>
    <row r="34" ht="14.15" customHeight="1">
      <c r="A34" s="14" t="n">
        <v>19</v>
      </c>
      <c r="B34" s="8" t="inlineStr">
        <is>
          <t>PCB (Printed Circuit Board)</t>
        </is>
      </c>
      <c r="C34" s="9" t="n">
        <v>25</v>
      </c>
      <c r="D34" s="9" t="n">
        <v>0</v>
      </c>
      <c r="E34" s="9" t="n">
        <v>4</v>
      </c>
      <c r="F34" s="9">
        <f>IFERROR(MIN(C34,D34)*E34/C34,0)</f>
        <v/>
      </c>
      <c r="G34" s="9" t="n"/>
    </row>
    <row r="35" ht="14.15" customHeight="1">
      <c r="A35" s="14" t="n">
        <v>20</v>
      </c>
      <c r="B35" s="8" t="inlineStr">
        <is>
          <t>Electronic Components</t>
        </is>
      </c>
      <c r="C35" s="9" t="n">
        <v>25</v>
      </c>
      <c r="D35" s="9" t="n">
        <v>0</v>
      </c>
      <c r="E35" s="9" t="n">
        <v>4</v>
      </c>
      <c r="F35" s="9">
        <f>IFERROR(MIN(C35,D35)*E35/C35,0)</f>
        <v/>
      </c>
      <c r="G35" s="9" t="n"/>
    </row>
    <row r="36" ht="14.15" customHeight="1">
      <c r="A36" s="14" t="n">
        <v>21</v>
      </c>
      <c r="B36" s="8" t="inlineStr">
        <is>
          <t>Tweezers</t>
        </is>
      </c>
      <c r="C36" s="9" t="n">
        <v>25</v>
      </c>
      <c r="D36" s="9" t="n">
        <v>0</v>
      </c>
      <c r="E36" s="9" t="n">
        <v>3</v>
      </c>
      <c r="F36" s="9">
        <f>IFERROR(MIN(C36,D36)*E36/C36,0)</f>
        <v/>
      </c>
      <c r="G36" s="9" t="n"/>
    </row>
    <row r="37" ht="14.15" customHeight="1">
      <c r="A37" s="14" t="n">
        <v>22</v>
      </c>
      <c r="B37" s="8" t="inlineStr">
        <is>
          <t>Hot Gun</t>
        </is>
      </c>
      <c r="C37" s="9" t="n">
        <v>10</v>
      </c>
      <c r="D37" s="9" t="n">
        <v>0</v>
      </c>
      <c r="E37" s="9" t="n">
        <v>5</v>
      </c>
      <c r="F37" s="9">
        <f>IFERROR(MIN(C37,D37)*E37/C37,0)</f>
        <v/>
      </c>
      <c r="G37" s="9" t="n"/>
    </row>
    <row r="38" ht="14.15" customHeight="1">
      <c r="A38" s="14" t="n">
        <v>23</v>
      </c>
      <c r="B38" s="8" t="inlineStr">
        <is>
          <t>Component Tester</t>
        </is>
      </c>
      <c r="C38" s="9" t="n">
        <v>25</v>
      </c>
      <c r="D38" s="9" t="n">
        <v>0</v>
      </c>
      <c r="E38" s="9" t="n">
        <v>6</v>
      </c>
      <c r="F38" s="9">
        <f>IFERROR(MIN(C38,D38)*E38/C38,0)</f>
        <v/>
      </c>
      <c r="G38" s="9" t="n"/>
    </row>
    <row r="39" ht="14.15" customHeight="1">
      <c r="A39" s="14" t="n">
        <v>24</v>
      </c>
      <c r="B39" s="8" t="inlineStr">
        <is>
          <t>Signal Generator</t>
        </is>
      </c>
      <c r="C39" s="9" t="n">
        <v>10</v>
      </c>
      <c r="D39" s="9" t="n">
        <v>0</v>
      </c>
      <c r="E39" s="9" t="n">
        <v>7</v>
      </c>
      <c r="F39" s="9">
        <f>IFERROR(MIN(C39,D39)*E39/C39,0)</f>
        <v/>
      </c>
      <c r="G39" s="9" t="n"/>
    </row>
    <row r="40" ht="14.15" customHeight="1">
      <c r="A40" s="14" t="n">
        <v>25</v>
      </c>
      <c r="B40" s="8" t="inlineStr">
        <is>
          <t>Insulation Resistance Tester</t>
        </is>
      </c>
      <c r="C40" s="9" t="n">
        <v>25</v>
      </c>
      <c r="D40" s="9" t="n">
        <v>0</v>
      </c>
      <c r="E40" s="9" t="n">
        <v>6</v>
      </c>
      <c r="F40" s="9">
        <f>IFERROR(MIN(C40,D40)*E40/C40,0)</f>
        <v/>
      </c>
      <c r="G40" s="9" t="n"/>
    </row>
    <row r="41">
      <c r="A41" s="15" t="inlineStr">
        <is>
          <t>Sum</t>
        </is>
      </c>
      <c r="B41" s="11" t="n"/>
      <c r="C41" s="11" t="n"/>
      <c r="D41" s="12" t="n"/>
      <c r="E41" s="15">
        <f>SUM(E16:E40)</f>
        <v/>
      </c>
      <c r="F41" s="15">
        <f>SUM(F16:F40)</f>
        <v/>
      </c>
      <c r="G41" s="13" t="n"/>
    </row>
    <row r="42">
      <c r="A42" s="15" t="inlineStr">
        <is>
          <t>Score out of 100</t>
        </is>
      </c>
      <c r="B42" s="11" t="n"/>
      <c r="C42" s="11" t="n"/>
      <c r="D42" s="11" t="n"/>
      <c r="E42" s="12" t="n"/>
      <c r="F42" s="15">
        <f>F41/E41*100</f>
        <v/>
      </c>
      <c r="G42" s="13" t="n"/>
    </row>
    <row r="43" ht="9.75" customHeight="1"/>
    <row r="44">
      <c r="A44" s="15" t="inlineStr">
        <is>
          <t xml:space="preserve">Total achieved points out of 30  </t>
        </is>
      </c>
      <c r="B44" s="11" t="n"/>
      <c r="C44" s="11" t="n"/>
      <c r="D44" s="11" t="n"/>
      <c r="E44" s="12" t="n"/>
      <c r="F44" s="15">
        <f>F42*30/100</f>
        <v/>
      </c>
      <c r="G44" s="15" t="inlineStr">
        <is>
          <t>Points</t>
        </is>
      </c>
    </row>
  </sheetData>
  <mergeCells count="8">
    <mergeCell ref="A13:G13"/>
    <mergeCell ref="C7:G7"/>
    <mergeCell ref="A1:G1"/>
    <mergeCell ref="A42:E42"/>
    <mergeCell ref="A44:E44"/>
    <mergeCell ref="A41:D41"/>
    <mergeCell ref="A43:G43"/>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IT Support Service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IT Support Service</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IT Support Service,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8</v>
      </c>
      <c r="F16" s="9">
        <f>IFERROR(MIN(C16,D16)*E16/C16,0)</f>
        <v/>
      </c>
      <c r="G16" s="9" t="n"/>
    </row>
    <row r="17" ht="14.15" customHeight="1">
      <c r="A17" s="14" t="n">
        <v>2</v>
      </c>
      <c r="B17" s="8" t="inlineStr">
        <is>
          <t>Printer</t>
        </is>
      </c>
      <c r="C17" s="9" t="n">
        <v>1</v>
      </c>
      <c r="D17" s="9" t="n">
        <v>0</v>
      </c>
      <c r="E17" s="9" t="n">
        <v>6</v>
      </c>
      <c r="F17" s="9">
        <f>IFERROR(MIN(C17,D17)*E17/C17,0)</f>
        <v/>
      </c>
      <c r="G17" s="9" t="n"/>
    </row>
    <row r="18" ht="14.15" customHeight="1">
      <c r="A18" s="14" t="n">
        <v>3</v>
      </c>
      <c r="B18" s="8" t="inlineStr">
        <is>
          <t>Scanner</t>
        </is>
      </c>
      <c r="C18" s="9" t="n">
        <v>1</v>
      </c>
      <c r="D18" s="9" t="n">
        <v>0</v>
      </c>
      <c r="E18" s="9" t="n">
        <v>5</v>
      </c>
      <c r="F18" s="9">
        <f>IFERROR(MIN(C18,D18)*E18/C18,0)</f>
        <v/>
      </c>
      <c r="G18" s="9" t="n"/>
    </row>
    <row r="19" ht="14.15" customHeight="1">
      <c r="A19" s="14" t="n">
        <v>4</v>
      </c>
      <c r="B19" s="8" t="inlineStr">
        <is>
          <t>Computers/Laptop: 
(Minimum Intel Core i5 processor (8th Gen), 8GB RAM (16GB preferred), 500GB SSD/HDD storage (1TB preferred), High-resolution monitors (19/20-inch minimum, with color accuracy).</t>
        </is>
      </c>
      <c r="C19" s="9" t="n">
        <v>25</v>
      </c>
      <c r="D19" s="9" t="n">
        <v>0</v>
      </c>
      <c r="E19" s="9" t="n">
        <v>10</v>
      </c>
      <c r="F19" s="9">
        <f>IFERROR(MIN(C19,D19)*E19/C19,0)</f>
        <v/>
      </c>
      <c r="G19" s="9" t="n"/>
    </row>
    <row r="20" ht="14.15" customHeight="1">
      <c r="A20" s="14" t="n">
        <v>5</v>
      </c>
      <c r="B20" s="8" t="inlineStr">
        <is>
          <t>Projector: 
High-resolution projector (HD or 4K) for instructor presentations, large screen for the room to ensure visibility for all trainees.</t>
        </is>
      </c>
      <c r="C20" s="9" t="n">
        <v>1</v>
      </c>
      <c r="D20" s="9" t="n">
        <v>0</v>
      </c>
      <c r="E20" s="9" t="n">
        <v>7</v>
      </c>
      <c r="F20" s="9">
        <f>IFERROR(MIN(C20,D20)*E20/C20,0)</f>
        <v/>
      </c>
      <c r="G20" s="9" t="n"/>
    </row>
    <row r="21" ht="14.15" customHeight="1">
      <c r="A21" s="14" t="n">
        <v>6</v>
      </c>
      <c r="B21" s="8" t="inlineStr">
        <is>
          <t>Network Devices (Switches and Wi-Fi Routers)</t>
        </is>
      </c>
      <c r="C21" s="9" t="n">
        <v>5</v>
      </c>
      <c r="D21" s="9" t="n">
        <v>0</v>
      </c>
      <c r="E21" s="9" t="n">
        <v>9</v>
      </c>
      <c r="F21" s="9">
        <f>IFERROR(MIN(C21,D21)*E21/C21,0)</f>
        <v/>
      </c>
      <c r="G21" s="9" t="inlineStr">
        <is>
          <t>05 sets</t>
        </is>
      </c>
    </row>
    <row r="22" ht="14.15" customHeight="1">
      <c r="A22" s="14" t="n">
        <v>7</v>
      </c>
      <c r="B22" s="8" t="inlineStr">
        <is>
          <t>Network tools (Clamping tools and cable testers)</t>
        </is>
      </c>
      <c r="C22" s="9" t="n">
        <v>10</v>
      </c>
      <c r="D22" s="9" t="n">
        <v>0</v>
      </c>
      <c r="E22" s="9" t="n">
        <v>8</v>
      </c>
      <c r="F22" s="9">
        <f>IFERROR(MIN(C22,D22)*E22/C22,0)</f>
        <v/>
      </c>
      <c r="G22" s="9" t="inlineStr">
        <is>
          <t>10 sets each</t>
        </is>
      </c>
    </row>
    <row r="23" ht="14.15" customHeight="1">
      <c r="A23" s="14" t="n">
        <v>8</v>
      </c>
      <c r="B23" s="8" t="inlineStr">
        <is>
          <t>Network Cables (UTP and Fiber Optics)</t>
        </is>
      </c>
      <c r="C23" s="9" t="n">
        <v>100</v>
      </c>
      <c r="D23" s="9" t="n">
        <v>0</v>
      </c>
      <c r="E23" s="9" t="n">
        <v>6</v>
      </c>
      <c r="F23" s="9">
        <f>IFERROR(MIN(C23,D23)*E23/C23,0)</f>
        <v/>
      </c>
      <c r="G23" s="9" t="inlineStr">
        <is>
          <t>100 meters</t>
        </is>
      </c>
    </row>
    <row r="24" ht="14.15" customHeight="1">
      <c r="A24" s="14" t="n">
        <v>9</v>
      </c>
      <c r="B24" s="8" t="inlineStr">
        <is>
          <t>Connectors (RJ 45, MTP/MPO)</t>
        </is>
      </c>
      <c r="C24" s="9" t="n">
        <v>100</v>
      </c>
      <c r="D24" s="9" t="n">
        <v>0</v>
      </c>
      <c r="E24" s="9" t="n">
        <v>4</v>
      </c>
      <c r="F24" s="9">
        <f>IFERROR(MIN(C24,D24)*E24/C24,0)</f>
        <v/>
      </c>
      <c r="G24" s="9" t="n"/>
    </row>
    <row r="25" ht="14.15" customHeight="1">
      <c r="A25" s="14" t="n">
        <v>10</v>
      </c>
      <c r="B25" s="8" t="inlineStr">
        <is>
          <t>Ergonomic chairs and desks</t>
        </is>
      </c>
      <c r="C25" s="9" t="n">
        <v>25</v>
      </c>
      <c r="D25" s="9" t="n">
        <v>0</v>
      </c>
      <c r="E25" s="9" t="n">
        <v>3</v>
      </c>
      <c r="F25" s="9">
        <f>IFERROR(MIN(C25,D25)*E25/C25,0)</f>
        <v/>
      </c>
      <c r="G25" s="9" t="n"/>
    </row>
    <row r="26" ht="14.15" customHeight="1">
      <c r="A26" s="14" t="n">
        <v>11</v>
      </c>
      <c r="B26" s="8" t="inlineStr">
        <is>
          <t>Internet connectivity with power back-up</t>
        </is>
      </c>
      <c r="C26" s="9" t="n">
        <v>1</v>
      </c>
      <c r="D26" s="9" t="n">
        <v>0</v>
      </c>
      <c r="E26" s="9" t="n">
        <v>8</v>
      </c>
      <c r="F26" s="9">
        <f>IFERROR(MIN(C26,D26)*E26/C26,0)</f>
        <v/>
      </c>
      <c r="G26" s="9" t="n"/>
    </row>
    <row r="27">
      <c r="A27" s="15" t="inlineStr">
        <is>
          <t>Sum</t>
        </is>
      </c>
      <c r="B27" s="11" t="n"/>
      <c r="C27" s="11" t="n"/>
      <c r="D27" s="12" t="n"/>
      <c r="E27" s="15">
        <f>SUM(E16:E26)</f>
        <v/>
      </c>
      <c r="F27" s="15">
        <f>SUM(F16:F26)</f>
        <v/>
      </c>
      <c r="G27" s="13" t="n"/>
    </row>
    <row r="28">
      <c r="A28" s="15" t="inlineStr">
        <is>
          <t>Score out of 100</t>
        </is>
      </c>
      <c r="B28" s="11" t="n"/>
      <c r="C28" s="11" t="n"/>
      <c r="D28" s="11" t="n"/>
      <c r="E28" s="12" t="n"/>
      <c r="F28" s="15">
        <f>F27/E27*100</f>
        <v/>
      </c>
      <c r="G28" s="13" t="n"/>
    </row>
    <row r="29" ht="9.75" customHeight="1"/>
    <row r="30">
      <c r="A30" s="15" t="inlineStr">
        <is>
          <t xml:space="preserve">Total achieved points out of 30  </t>
        </is>
      </c>
      <c r="B30" s="11" t="n"/>
      <c r="C30" s="11" t="n"/>
      <c r="D30" s="11" t="n"/>
      <c r="E30" s="12" t="n"/>
      <c r="F30" s="15">
        <f>F28*30/100</f>
        <v/>
      </c>
      <c r="G30" s="15"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Machine Shop Practice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Machine Shop Practice</t>
        </is>
      </c>
      <c r="C8" s="4" t="inlineStr">
        <is>
          <t>Classroom		: 350 sft 
Workshop/ 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Machine Shop Practice,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Lathe Machine</t>
        </is>
      </c>
      <c r="C16" s="9" t="n">
        <v>10</v>
      </c>
      <c r="D16" s="9" t="n">
        <v>0</v>
      </c>
      <c r="E16" s="9" t="n">
        <v>10</v>
      </c>
      <c r="F16" s="9">
        <f>IFERROR(MIN(C16,D16)*E16/C16,0)</f>
        <v/>
      </c>
      <c r="G16" s="9" t="n"/>
    </row>
    <row r="17" ht="14.15" customHeight="1">
      <c r="A17" s="14" t="n">
        <v>2</v>
      </c>
      <c r="B17" s="8" t="inlineStr">
        <is>
          <t>Shaper Machine</t>
        </is>
      </c>
      <c r="C17" s="9" t="n">
        <v>1</v>
      </c>
      <c r="D17" s="9" t="n">
        <v>0</v>
      </c>
      <c r="E17" s="9" t="n">
        <v>8</v>
      </c>
      <c r="F17" s="9">
        <f>IFERROR(MIN(C17,D17)*E17/C17,0)</f>
        <v/>
      </c>
      <c r="G17" s="9" t="n"/>
    </row>
    <row r="18" ht="14.15" customHeight="1">
      <c r="A18" s="14" t="n">
        <v>3</v>
      </c>
      <c r="B18" s="8" t="inlineStr">
        <is>
          <t>Milling Machine</t>
        </is>
      </c>
      <c r="C18" s="9" t="n">
        <v>1</v>
      </c>
      <c r="D18" s="9" t="n">
        <v>0</v>
      </c>
      <c r="E18" s="9" t="n">
        <v>9</v>
      </c>
      <c r="F18" s="9">
        <f>IFERROR(MIN(C18,D18)*E18/C18,0)</f>
        <v/>
      </c>
      <c r="G18" s="9" t="n"/>
    </row>
    <row r="19" ht="14.15" customHeight="1">
      <c r="A19" s="14" t="n">
        <v>4</v>
      </c>
      <c r="B19" s="8" t="inlineStr">
        <is>
          <t>Drill Machine</t>
        </is>
      </c>
      <c r="C19" s="9" t="n">
        <v>2</v>
      </c>
      <c r="D19" s="9" t="n">
        <v>0</v>
      </c>
      <c r="E19" s="9" t="n">
        <v>7</v>
      </c>
      <c r="F19" s="9">
        <f>IFERROR(MIN(C19,D19)*E19/C19,0)</f>
        <v/>
      </c>
      <c r="G19" s="9" t="n"/>
    </row>
    <row r="20" ht="14.15" customHeight="1">
      <c r="A20" s="14" t="n">
        <v>5</v>
      </c>
      <c r="B20" s="8" t="inlineStr">
        <is>
          <t>Bench Vice</t>
        </is>
      </c>
      <c r="C20" s="9" t="n">
        <v>8</v>
      </c>
      <c r="D20" s="9" t="n">
        <v>0</v>
      </c>
      <c r="E20" s="9" t="n">
        <v>6</v>
      </c>
      <c r="F20" s="9">
        <f>IFERROR(MIN(C20,D20)*E20/C20,0)</f>
        <v/>
      </c>
      <c r="G20" s="9" t="n"/>
    </row>
    <row r="21" ht="14.15" customHeight="1">
      <c r="A21" s="14" t="n">
        <v>6</v>
      </c>
      <c r="B21" s="8" t="inlineStr">
        <is>
          <t>Surface Grinding Machine</t>
        </is>
      </c>
      <c r="C21" s="9" t="n">
        <v>2</v>
      </c>
      <c r="D21" s="9" t="n">
        <v>0</v>
      </c>
      <c r="E21" s="9" t="n">
        <v>8</v>
      </c>
      <c r="F21" s="9">
        <f>IFERROR(MIN(C21,D21)*E21/C21,0)</f>
        <v/>
      </c>
      <c r="G21" s="9" t="n"/>
    </row>
    <row r="22" ht="14.15" customHeight="1">
      <c r="A22" s="14" t="n">
        <v>7</v>
      </c>
      <c r="B22" s="8" t="inlineStr">
        <is>
          <t>Power hacksaw</t>
        </is>
      </c>
      <c r="C22" s="9" t="n">
        <v>1</v>
      </c>
      <c r="D22" s="9" t="n">
        <v>0</v>
      </c>
      <c r="E22" s="9" t="n">
        <v>6</v>
      </c>
      <c r="F22" s="9">
        <f>IFERROR(MIN(C22,D22)*E22/C22,0)</f>
        <v/>
      </c>
      <c r="G22" s="9" t="n"/>
    </row>
    <row r="23" ht="14.15" customHeight="1">
      <c r="A23" s="14" t="n">
        <v>8</v>
      </c>
      <c r="B23" s="8" t="inlineStr">
        <is>
          <t>Cut off saw</t>
        </is>
      </c>
      <c r="C23" s="9" t="n">
        <v>1</v>
      </c>
      <c r="D23" s="9" t="n">
        <v>0</v>
      </c>
      <c r="E23" s="9" t="n">
        <v>6</v>
      </c>
      <c r="F23" s="9">
        <f>IFERROR(MIN(C23,D23)*E23/C23,0)</f>
        <v/>
      </c>
      <c r="G23" s="9" t="n"/>
    </row>
    <row r="24" ht="14.15" customHeight="1">
      <c r="A24" s="14" t="n">
        <v>9</v>
      </c>
      <c r="B24" s="8" t="inlineStr">
        <is>
          <t>Working Table</t>
        </is>
      </c>
      <c r="C24" s="9" t="n">
        <v>5</v>
      </c>
      <c r="D24" s="9" t="n">
        <v>0</v>
      </c>
      <c r="E24" s="9" t="n">
        <v>4</v>
      </c>
      <c r="F24" s="9">
        <f>IFERROR(MIN(C24,D24)*E24/C24,0)</f>
        <v/>
      </c>
      <c r="G24" s="9" t="n"/>
    </row>
    <row r="25">
      <c r="A25" s="15" t="inlineStr">
        <is>
          <t>Sum</t>
        </is>
      </c>
      <c r="B25" s="11" t="n"/>
      <c r="C25" s="11" t="n"/>
      <c r="D25" s="12" t="n"/>
      <c r="E25" s="15">
        <f>SUM(E16:E24)</f>
        <v/>
      </c>
      <c r="F25" s="15">
        <f>SUM(F16:F24)</f>
        <v/>
      </c>
      <c r="G25" s="13" t="n"/>
    </row>
    <row r="26">
      <c r="A26" s="15" t="inlineStr">
        <is>
          <t>Score out of 100</t>
        </is>
      </c>
      <c r="B26" s="11" t="n"/>
      <c r="C26" s="11" t="n"/>
      <c r="D26" s="11" t="n"/>
      <c r="E26" s="12" t="n"/>
      <c r="F26" s="15">
        <f>F25/E25*100</f>
        <v/>
      </c>
      <c r="G26" s="13" t="n"/>
    </row>
    <row r="27" ht="9.75" customHeight="1"/>
    <row r="28">
      <c r="A28" s="15" t="inlineStr">
        <is>
          <t xml:space="preserve">Total achieved points out of 30  </t>
        </is>
      </c>
      <c r="B28" s="11" t="n"/>
      <c r="C28" s="11" t="n"/>
      <c r="D28" s="11" t="n"/>
      <c r="E28" s="12" t="n"/>
      <c r="F28" s="15">
        <f>F26*30/100</f>
        <v/>
      </c>
      <c r="G28" s="15"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Marine Engine Artificer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Marine Engine Artificer</t>
        </is>
      </c>
      <c r="C8" s="4" t="inlineStr">
        <is>
          <t>Classroom		: 350 sft 
Workshop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Marine Engine Artificer,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 with internet connection</t>
        </is>
      </c>
      <c r="C16" s="9" t="n">
        <v>1</v>
      </c>
      <c r="D16" s="9" t="n">
        <v>0</v>
      </c>
      <c r="E16" s="9" t="n">
        <v>5</v>
      </c>
      <c r="F16" s="9">
        <f>IFERROR(MIN(C16,D16)*E16/C16,0)</f>
        <v/>
      </c>
      <c r="G16" s="9" t="n"/>
    </row>
    <row r="17" ht="14.15" customHeight="1">
      <c r="A17" s="14" t="n">
        <v>2</v>
      </c>
      <c r="B17" s="8" t="inlineStr">
        <is>
          <t>Projector and projector screen</t>
        </is>
      </c>
      <c r="C17" s="9" t="n">
        <v>1</v>
      </c>
      <c r="D17" s="9" t="n">
        <v>0</v>
      </c>
      <c r="E17" s="9" t="n">
        <v>5</v>
      </c>
      <c r="F17" s="9">
        <f>IFERROR(MIN(C17,D17)*E17/C17,0)</f>
        <v/>
      </c>
      <c r="G17" s="9" t="n"/>
    </row>
    <row r="18" ht="14.15" customHeight="1">
      <c r="A18" s="14" t="n">
        <v>3</v>
      </c>
      <c r="B18" s="8" t="inlineStr">
        <is>
          <t>Marine Diesel engine</t>
        </is>
      </c>
      <c r="C18" s="9" t="n">
        <v>3</v>
      </c>
      <c r="D18" s="9" t="n">
        <v>0</v>
      </c>
      <c r="E18" s="9" t="n">
        <v>10</v>
      </c>
      <c r="F18" s="9">
        <f>IFERROR(MIN(C18,D18)*E18/C18,0)</f>
        <v/>
      </c>
      <c r="G18" s="9" t="n"/>
    </row>
    <row r="19" ht="14.15" customHeight="1">
      <c r="A19" s="14" t="n">
        <v>4</v>
      </c>
      <c r="B19" s="8" t="inlineStr">
        <is>
          <t>Engine Cooler (Tube type)</t>
        </is>
      </c>
      <c r="C19" s="9" t="n">
        <v>1</v>
      </c>
      <c r="D19" s="9" t="n">
        <v>0</v>
      </c>
      <c r="E19" s="9" t="n">
        <v>6</v>
      </c>
      <c r="F19" s="9">
        <f>IFERROR(MIN(C19,D19)*E19/C19,0)</f>
        <v/>
      </c>
      <c r="G19" s="9" t="n"/>
    </row>
    <row r="20" ht="14.15" customHeight="1">
      <c r="A20" s="14" t="n">
        <v>5</v>
      </c>
      <c r="B20" s="8" t="inlineStr">
        <is>
          <t>Engine Cooler (Plate type)</t>
        </is>
      </c>
      <c r="C20" s="9" t="n">
        <v>1</v>
      </c>
      <c r="D20" s="9" t="n">
        <v>0</v>
      </c>
      <c r="E20" s="9" t="n">
        <v>6</v>
      </c>
      <c r="F20" s="9">
        <f>IFERROR(MIN(C20,D20)*E20/C20,0)</f>
        <v/>
      </c>
      <c r="G20" s="9" t="n"/>
    </row>
    <row r="21" ht="14.15" customHeight="1">
      <c r="A21" s="14" t="n">
        <v>6</v>
      </c>
      <c r="B21" s="8" t="inlineStr">
        <is>
          <t>Engine Crank shaft</t>
        </is>
      </c>
      <c r="C21" s="9" t="n">
        <v>1</v>
      </c>
      <c r="D21" s="9" t="n">
        <v>0</v>
      </c>
      <c r="E21" s="9" t="n">
        <v>7</v>
      </c>
      <c r="F21" s="9">
        <f>IFERROR(MIN(C21,D21)*E21/C21,0)</f>
        <v/>
      </c>
      <c r="G21" s="9" t="n"/>
    </row>
    <row r="22" ht="14.15" customHeight="1">
      <c r="A22" s="14" t="n">
        <v>7</v>
      </c>
      <c r="B22" s="8" t="inlineStr">
        <is>
          <t>Different engine component set</t>
        </is>
      </c>
      <c r="C22" s="9" t="n">
        <v>2</v>
      </c>
      <c r="D22" s="9" t="n">
        <v>0</v>
      </c>
      <c r="E22" s="9" t="n">
        <v>6</v>
      </c>
      <c r="F22" s="9">
        <f>IFERROR(MIN(C22,D22)*E22/C22,0)</f>
        <v/>
      </c>
      <c r="G22" s="9" t="n"/>
    </row>
    <row r="23" ht="14.15" customHeight="1">
      <c r="A23" s="14" t="n">
        <v>8</v>
      </c>
      <c r="B23" s="8" t="inlineStr">
        <is>
          <t>Centrifugal Pump</t>
        </is>
      </c>
      <c r="C23" s="9" t="n">
        <v>2</v>
      </c>
      <c r="D23" s="9" t="n">
        <v>0</v>
      </c>
      <c r="E23" s="9" t="n">
        <v>7</v>
      </c>
      <c r="F23" s="9">
        <f>IFERROR(MIN(C23,D23)*E23/C23,0)</f>
        <v/>
      </c>
      <c r="G23" s="9" t="n"/>
    </row>
    <row r="24" ht="14.15" customHeight="1">
      <c r="A24" s="14" t="n">
        <v>9</v>
      </c>
      <c r="B24" s="8" t="inlineStr">
        <is>
          <t>Positive displacement pump</t>
        </is>
      </c>
      <c r="C24" s="9" t="n">
        <v>2</v>
      </c>
      <c r="D24" s="9" t="n">
        <v>0</v>
      </c>
      <c r="E24" s="9" t="n">
        <v>7</v>
      </c>
      <c r="F24" s="9">
        <f>IFERROR(MIN(C24,D24)*E24/C24,0)</f>
        <v/>
      </c>
      <c r="G24" s="9" t="n"/>
    </row>
    <row r="25" ht="14.15" customHeight="1">
      <c r="A25" s="14" t="n">
        <v>10</v>
      </c>
      <c r="B25" s="8" t="inlineStr">
        <is>
          <t>Main bearing</t>
        </is>
      </c>
      <c r="C25" s="9" t="n">
        <v>1</v>
      </c>
      <c r="D25" s="9" t="n">
        <v>0</v>
      </c>
      <c r="E25" s="9" t="n">
        <v>4</v>
      </c>
      <c r="F25" s="9">
        <f>IFERROR(MIN(C25,D25)*E25/C25,0)</f>
        <v/>
      </c>
      <c r="G25" s="9" t="n"/>
    </row>
    <row r="26" ht="14.15" customHeight="1">
      <c r="A26" s="14" t="n">
        <v>11</v>
      </c>
      <c r="B26" s="8" t="inlineStr">
        <is>
          <t>Crank pin bearing</t>
        </is>
      </c>
      <c r="C26" s="9" t="n">
        <v>1</v>
      </c>
      <c r="D26" s="9" t="n">
        <v>0</v>
      </c>
      <c r="E26" s="9" t="n">
        <v>4</v>
      </c>
      <c r="F26" s="9">
        <f>IFERROR(MIN(C26,D26)*E26/C26,0)</f>
        <v/>
      </c>
      <c r="G26" s="9" t="n"/>
    </row>
    <row r="27" ht="14.15" customHeight="1">
      <c r="A27" s="14" t="n">
        <v>12</v>
      </c>
      <c r="B27" s="8" t="inlineStr">
        <is>
          <t>Battery (100 AH) with charger</t>
        </is>
      </c>
      <c r="C27" s="9" t="n">
        <v>1</v>
      </c>
      <c r="D27" s="9" t="n">
        <v>0</v>
      </c>
      <c r="E27" s="9" t="n">
        <v>5</v>
      </c>
      <c r="F27" s="9">
        <f>IFERROR(MIN(C27,D27)*E27/C27,0)</f>
        <v/>
      </c>
      <c r="G27" s="9" t="n"/>
    </row>
    <row r="28">
      <c r="A28" s="15" t="inlineStr">
        <is>
          <t>Sum</t>
        </is>
      </c>
      <c r="B28" s="11" t="n"/>
      <c r="C28" s="11" t="n"/>
      <c r="D28" s="12" t="n"/>
      <c r="E28" s="15">
        <f>SUM(E16:E27)</f>
        <v/>
      </c>
      <c r="F28" s="15">
        <f>SUM(F16:F27)</f>
        <v/>
      </c>
      <c r="G28" s="13" t="n"/>
    </row>
    <row r="29">
      <c r="A29" s="15" t="inlineStr">
        <is>
          <t>Score out of 100</t>
        </is>
      </c>
      <c r="B29" s="11" t="n"/>
      <c r="C29" s="11" t="n"/>
      <c r="D29" s="11" t="n"/>
      <c r="E29" s="12" t="n"/>
      <c r="F29" s="15">
        <f>F28/E28*100</f>
        <v/>
      </c>
      <c r="G29" s="13" t="n"/>
    </row>
    <row r="30" ht="9.75" customHeight="1"/>
    <row r="31">
      <c r="A31" s="15" t="inlineStr">
        <is>
          <t xml:space="preserve">Total achieved points out of 30  </t>
        </is>
      </c>
      <c r="B31" s="11" t="n"/>
      <c r="C31" s="11" t="n"/>
      <c r="D31" s="11" t="n"/>
      <c r="E31" s="12" t="n"/>
      <c r="F31" s="15">
        <f>F29*30/100</f>
        <v/>
      </c>
      <c r="G31" s="15"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Masonry and Rod Binding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Masonry and Rod Binding</t>
        </is>
      </c>
      <c r="C8" s="4" t="inlineStr">
        <is>
          <t>Classroom – 350 sft (33 sqm)
Workshop/ lab (Masonry) – 800 sft (75 sqm) and Workshop/ lab (Steel Binding) – 800 sft (75 sqm)
OR
Classroom cum workshop – 1500 sft (140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Masonry and Rod Binding,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Vibrator Machine</t>
        </is>
      </c>
      <c r="C18" s="9" t="n">
        <v>2</v>
      </c>
      <c r="D18" s="9" t="n">
        <v>0</v>
      </c>
      <c r="E18" s="9" t="n">
        <v>8</v>
      </c>
      <c r="F18" s="9">
        <f>IFERROR(MIN(C18,D18)*E18/C18,0)</f>
        <v/>
      </c>
      <c r="G18" s="9" t="n"/>
    </row>
    <row r="19" ht="14.15" customHeight="1">
      <c r="A19" s="14" t="n">
        <v>4</v>
      </c>
      <c r="B19" s="8" t="inlineStr">
        <is>
          <t>Trolley/ Van</t>
        </is>
      </c>
      <c r="C19" s="9" t="n">
        <v>1</v>
      </c>
      <c r="D19" s="9" t="n">
        <v>0</v>
      </c>
      <c r="E19" s="9" t="n">
        <v>4</v>
      </c>
      <c r="F19" s="9">
        <f>IFERROR(MIN(C19,D19)*E19/C19,0)</f>
        <v/>
      </c>
      <c r="G19" s="9" t="n"/>
    </row>
    <row r="20" ht="14.15" customHeight="1">
      <c r="A20" s="14" t="n">
        <v>5</v>
      </c>
      <c r="B20" s="8" t="inlineStr">
        <is>
          <t>Concrete Mixture Machine</t>
        </is>
      </c>
      <c r="C20" s="9" t="n">
        <v>1</v>
      </c>
      <c r="D20" s="9" t="n">
        <v>0</v>
      </c>
      <c r="E20" s="9" t="n">
        <v>9</v>
      </c>
      <c r="F20" s="9">
        <f>IFERROR(MIN(C20,D20)*E20/C20,0)</f>
        <v/>
      </c>
      <c r="G20" s="9" t="n"/>
    </row>
    <row r="21" ht="14.15" customHeight="1">
      <c r="A21" s="14" t="n">
        <v>6</v>
      </c>
      <c r="B21" s="8" t="inlineStr">
        <is>
          <t>Hammer Drill</t>
        </is>
      </c>
      <c r="C21" s="9" t="n">
        <v>1</v>
      </c>
      <c r="D21" s="9" t="n">
        <v>0</v>
      </c>
      <c r="E21" s="9" t="n">
        <v>6</v>
      </c>
      <c r="F21" s="9">
        <f>IFERROR(MIN(C21,D21)*E21/C21,0)</f>
        <v/>
      </c>
      <c r="G21" s="9" t="n"/>
    </row>
    <row r="22" ht="14.15" customHeight="1">
      <c r="A22" s="14" t="n">
        <v>7</v>
      </c>
      <c r="B22" s="8" t="inlineStr">
        <is>
          <t>Angle Grinder</t>
        </is>
      </c>
      <c r="C22" s="9" t="n">
        <v>5</v>
      </c>
      <c r="D22" s="9" t="n">
        <v>0</v>
      </c>
      <c r="E22" s="9" t="n">
        <v>6</v>
      </c>
      <c r="F22" s="9">
        <f>IFERROR(MIN(C22,D22)*E22/C22,0)</f>
        <v/>
      </c>
      <c r="G22" s="9" t="n"/>
    </row>
    <row r="23" ht="14.15" customHeight="1">
      <c r="A23" s="14" t="n">
        <v>8</v>
      </c>
      <c r="B23" s="8" t="inlineStr">
        <is>
          <t>Rod Bending Machine (Hydraulic)</t>
        </is>
      </c>
      <c r="C23" s="9" t="n">
        <v>1</v>
      </c>
      <c r="D23" s="9" t="n">
        <v>0</v>
      </c>
      <c r="E23" s="9" t="n">
        <v>9</v>
      </c>
      <c r="F23" s="9">
        <f>IFERROR(MIN(C23,D23)*E23/C23,0)</f>
        <v/>
      </c>
      <c r="G23" s="9" t="n"/>
    </row>
    <row r="24" ht="14.15" customHeight="1">
      <c r="A24" s="14" t="n">
        <v>9</v>
      </c>
      <c r="B24" s="8" t="inlineStr">
        <is>
          <t>Rod Bending Station</t>
        </is>
      </c>
      <c r="C24" s="9" t="n">
        <v>25</v>
      </c>
      <c r="D24" s="9" t="n">
        <v>0</v>
      </c>
      <c r="E24" s="9" t="n">
        <v>8</v>
      </c>
      <c r="F24" s="9">
        <f>IFERROR(MIN(C24,D24)*E24/C24,0)</f>
        <v/>
      </c>
      <c r="G24" s="9" t="n"/>
    </row>
    <row r="25" ht="14.15" customHeight="1">
      <c r="A25" s="14" t="n">
        <v>10</v>
      </c>
      <c r="B25" s="8" t="inlineStr">
        <is>
          <t>Rod Binding Machine</t>
        </is>
      </c>
      <c r="C25" s="9" t="n">
        <v>2</v>
      </c>
      <c r="D25" s="9" t="n">
        <v>0</v>
      </c>
      <c r="E25" s="9" t="n">
        <v>8</v>
      </c>
      <c r="F25" s="9">
        <f>IFERROR(MIN(C25,D25)*E25/C25,0)</f>
        <v/>
      </c>
      <c r="G25" s="9" t="n"/>
    </row>
    <row r="26" ht="14.15" customHeight="1">
      <c r="A26" s="14" t="n">
        <v>11</v>
      </c>
      <c r="B26" s="8" t="inlineStr">
        <is>
          <t>Portable arc welding machine</t>
        </is>
      </c>
      <c r="C26" s="9" t="n">
        <v>1</v>
      </c>
      <c r="D26" s="9" t="n">
        <v>0</v>
      </c>
      <c r="E26" s="9" t="n">
        <v>6</v>
      </c>
      <c r="F26" s="9">
        <f>IFERROR(MIN(C26,D26)*E26/C26,0)</f>
        <v/>
      </c>
      <c r="G26" s="9" t="n"/>
    </row>
    <row r="27">
      <c r="A27" s="15" t="inlineStr">
        <is>
          <t>Sum</t>
        </is>
      </c>
      <c r="B27" s="11" t="n"/>
      <c r="C27" s="11" t="n"/>
      <c r="D27" s="12" t="n"/>
      <c r="E27" s="15">
        <f>SUM(E16:E26)</f>
        <v/>
      </c>
      <c r="F27" s="15">
        <f>SUM(F16:F26)</f>
        <v/>
      </c>
      <c r="G27" s="13" t="n"/>
    </row>
    <row r="28">
      <c r="A28" s="15" t="inlineStr">
        <is>
          <t>Score out of 100</t>
        </is>
      </c>
      <c r="B28" s="11" t="n"/>
      <c r="C28" s="11" t="n"/>
      <c r="D28" s="11" t="n"/>
      <c r="E28" s="12" t="n"/>
      <c r="F28" s="15">
        <f>F27/E27*100</f>
        <v/>
      </c>
      <c r="G28" s="13" t="n"/>
    </row>
    <row r="29" ht="9.75" customHeight="1"/>
    <row r="30">
      <c r="A30" s="15" t="inlineStr">
        <is>
          <t xml:space="preserve">Total achieved points out of 30  </t>
        </is>
      </c>
      <c r="B30" s="11" t="n"/>
      <c r="C30" s="11" t="n"/>
      <c r="D30" s="11" t="n"/>
      <c r="E30" s="12" t="n"/>
      <c r="F30" s="15">
        <f>F28*30/100</f>
        <v/>
      </c>
      <c r="G30" s="15"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Mobile Phone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Mobile Phone Servicing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Mobile Phone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 Laptop with software</t>
        </is>
      </c>
      <c r="C16" s="9" t="n">
        <v>5</v>
      </c>
      <c r="D16" s="9" t="n">
        <v>0</v>
      </c>
      <c r="E16" s="9" t="n">
        <v>8</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Working Station</t>
        </is>
      </c>
      <c r="C18" s="9" t="n">
        <v>25</v>
      </c>
      <c r="D18" s="9" t="n">
        <v>0</v>
      </c>
      <c r="E18" s="9" t="n">
        <v>8</v>
      </c>
      <c r="F18" s="9">
        <f>IFERROR(MIN(C18,D18)*E18/C18,0)</f>
        <v/>
      </c>
      <c r="G18" s="9" t="n"/>
    </row>
    <row r="19" ht="14.15" customHeight="1">
      <c r="A19" s="14" t="n">
        <v>4</v>
      </c>
      <c r="B19" s="8" t="inlineStr">
        <is>
          <t>Hot Air Rework Stations</t>
        </is>
      </c>
      <c r="C19" s="9" t="n">
        <v>25</v>
      </c>
      <c r="D19" s="9" t="n">
        <v>0</v>
      </c>
      <c r="E19" s="9" t="n">
        <v>9</v>
      </c>
      <c r="F19" s="9">
        <f>IFERROR(MIN(C19,D19)*E19/C19,0)</f>
        <v/>
      </c>
      <c r="G19" s="9" t="n"/>
    </row>
    <row r="20" ht="14.15" customHeight="1">
      <c r="A20" s="14" t="n">
        <v>5</v>
      </c>
      <c r="B20" s="8" t="inlineStr">
        <is>
          <t>Soldering Stations</t>
        </is>
      </c>
      <c r="C20" s="9" t="n">
        <v>25</v>
      </c>
      <c r="D20" s="9" t="n">
        <v>0</v>
      </c>
      <c r="E20" s="9" t="n">
        <v>9</v>
      </c>
      <c r="F20" s="9">
        <f>IFERROR(MIN(C20,D20)*E20/C20,0)</f>
        <v/>
      </c>
      <c r="G20" s="9" t="n"/>
    </row>
    <row r="21" ht="14.15" customHeight="1">
      <c r="A21" s="14" t="n">
        <v>6</v>
      </c>
      <c r="B21" s="8" t="inlineStr">
        <is>
          <t>Soldering Irons</t>
        </is>
      </c>
      <c r="C21" s="9" t="n">
        <v>25</v>
      </c>
      <c r="D21" s="9" t="n">
        <v>0</v>
      </c>
      <c r="E21" s="9" t="n">
        <v>8</v>
      </c>
      <c r="F21" s="9">
        <f>IFERROR(MIN(C21,D21)*E21/C21,0)</f>
        <v/>
      </c>
      <c r="G21" s="9" t="n"/>
    </row>
    <row r="22" ht="14.15" customHeight="1">
      <c r="A22" s="14" t="n">
        <v>7</v>
      </c>
      <c r="B22" s="8" t="inlineStr">
        <is>
          <t>Multimeters</t>
        </is>
      </c>
      <c r="C22" s="9" t="n">
        <v>25</v>
      </c>
      <c r="D22" s="9" t="n">
        <v>0</v>
      </c>
      <c r="E22" s="9" t="n">
        <v>7</v>
      </c>
      <c r="F22" s="9">
        <f>IFERROR(MIN(C22,D22)*E22/C22,0)</f>
        <v/>
      </c>
      <c r="G22" s="9" t="n"/>
    </row>
    <row r="23" ht="14.15" customHeight="1">
      <c r="A23" s="14" t="n">
        <v>8</v>
      </c>
      <c r="B23" s="8" t="inlineStr">
        <is>
          <t>Power Supply Units</t>
        </is>
      </c>
      <c r="C23" s="9" t="n">
        <v>25</v>
      </c>
      <c r="D23" s="9" t="n">
        <v>0</v>
      </c>
      <c r="E23" s="9" t="n">
        <v>6</v>
      </c>
      <c r="F23" s="9">
        <f>IFERROR(MIN(C23,D23)*E23/C23,0)</f>
        <v/>
      </c>
      <c r="G23" s="9" t="n"/>
    </row>
    <row r="24" ht="14.15" customHeight="1">
      <c r="A24" s="14" t="n">
        <v>9</v>
      </c>
      <c r="B24" s="8" t="inlineStr">
        <is>
          <t>Battery Testers</t>
        </is>
      </c>
      <c r="C24" s="9" t="n">
        <v>5</v>
      </c>
      <c r="D24" s="9" t="n">
        <v>0</v>
      </c>
      <c r="E24" s="9" t="n">
        <v>6</v>
      </c>
      <c r="F24" s="9">
        <f>IFERROR(MIN(C24,D24)*E24/C24,0)</f>
        <v/>
      </c>
      <c r="G24" s="9" t="n"/>
    </row>
    <row r="25" ht="14.15" customHeight="1">
      <c r="A25" s="14" t="n">
        <v>10</v>
      </c>
      <c r="B25" s="8" t="inlineStr">
        <is>
          <t>Screen Testing Jigs (for LCD and touchscreens)</t>
        </is>
      </c>
      <c r="C25" s="9" t="n">
        <v>1</v>
      </c>
      <c r="D25" s="9" t="n">
        <v>0</v>
      </c>
      <c r="E25" s="9" t="n">
        <v>6</v>
      </c>
      <c r="F25" s="9">
        <f>IFERROR(MIN(C25,D25)*E25/C25,0)</f>
        <v/>
      </c>
      <c r="G25" s="9" t="n"/>
    </row>
    <row r="26" ht="14.15" customHeight="1">
      <c r="A26" s="14" t="n">
        <v>11</v>
      </c>
      <c r="B26" s="8" t="inlineStr">
        <is>
          <t>USB Testers (for current and voltage checks)</t>
        </is>
      </c>
      <c r="C26" s="9" t="n">
        <v>5</v>
      </c>
      <c r="D26" s="9" t="n">
        <v>0</v>
      </c>
      <c r="E26" s="9" t="n">
        <v>4</v>
      </c>
      <c r="F26" s="9">
        <f>IFERROR(MIN(C26,D26)*E26/C26,0)</f>
        <v/>
      </c>
      <c r="G26" s="9" t="n"/>
    </row>
    <row r="27" ht="14.15" customHeight="1">
      <c r="A27" s="14" t="n">
        <v>12</v>
      </c>
      <c r="B27" s="8" t="inlineStr">
        <is>
          <t>Screwdrivers Set (Precision set, including Phillips and flathead)</t>
        </is>
      </c>
      <c r="C27" s="9" t="n">
        <v>25</v>
      </c>
      <c r="D27" s="9" t="n">
        <v>0</v>
      </c>
      <c r="E27" s="9" t="n">
        <v>4</v>
      </c>
      <c r="F27" s="9">
        <f>IFERROR(MIN(C27,D27)*E27/C27,0)</f>
        <v/>
      </c>
      <c r="G27" s="9" t="n"/>
    </row>
    <row r="28" ht="14.15" customHeight="1">
      <c r="A28" s="14" t="n">
        <v>13</v>
      </c>
      <c r="B28" s="8" t="inlineStr">
        <is>
          <t>Tweezers (ESD-safe, various sizes)</t>
        </is>
      </c>
      <c r="C28" s="9" t="n">
        <v>25</v>
      </c>
      <c r="D28" s="9" t="n">
        <v>0</v>
      </c>
      <c r="E28" s="9" t="n">
        <v>3</v>
      </c>
      <c r="F28" s="9">
        <f>IFERROR(MIN(C28,D28)*E28/C28,0)</f>
        <v/>
      </c>
      <c r="G28" s="9" t="n"/>
    </row>
    <row r="29" ht="14.15" customHeight="1">
      <c r="A29" s="14" t="n">
        <v>14</v>
      </c>
      <c r="B29" s="8" t="inlineStr">
        <is>
          <t>Opening Tools</t>
        </is>
      </c>
      <c r="C29" s="9" t="n">
        <v>25</v>
      </c>
      <c r="D29" s="9" t="n">
        <v>0</v>
      </c>
      <c r="E29" s="9" t="n">
        <v>3</v>
      </c>
      <c r="F29" s="9">
        <f>IFERROR(MIN(C29,D29)*E29/C29,0)</f>
        <v/>
      </c>
      <c r="G29" s="9" t="n"/>
    </row>
    <row r="30" ht="14.15" customHeight="1">
      <c r="A30" s="14" t="n">
        <v>15</v>
      </c>
      <c r="B30" s="8" t="inlineStr">
        <is>
          <t>SIM Card Ejector Pins</t>
        </is>
      </c>
      <c r="C30" s="9" t="n">
        <v>25</v>
      </c>
      <c r="D30" s="9" t="n">
        <v>0</v>
      </c>
      <c r="E30" s="9" t="n">
        <v>3</v>
      </c>
      <c r="F30" s="9">
        <f>IFERROR(MIN(C30,D30)*E30/C30,0)</f>
        <v/>
      </c>
      <c r="G30" s="9" t="n"/>
    </row>
    <row r="31" ht="14.15" customHeight="1">
      <c r="A31" s="14" t="n">
        <v>16</v>
      </c>
      <c r="B31" s="8" t="inlineStr">
        <is>
          <t>Suction Cups (for screen removal)</t>
        </is>
      </c>
      <c r="C31" s="9" t="n">
        <v>25</v>
      </c>
      <c r="D31" s="9" t="n">
        <v>0</v>
      </c>
      <c r="E31" s="9" t="n">
        <v>3</v>
      </c>
      <c r="F31" s="9">
        <f>IFERROR(MIN(C31,D31)*E31/C31,0)</f>
        <v/>
      </c>
      <c r="G31" s="9" t="n"/>
    </row>
    <row r="32" ht="14.15" customHeight="1">
      <c r="A32" s="14" t="n">
        <v>17</v>
      </c>
      <c r="B32" s="8" t="inlineStr">
        <is>
          <t>Magnifying Glasses with Lamp</t>
        </is>
      </c>
      <c r="C32" s="9" t="n">
        <v>25</v>
      </c>
      <c r="D32" s="9" t="n">
        <v>0</v>
      </c>
      <c r="E32" s="9" t="n">
        <v>4</v>
      </c>
      <c r="F32" s="9">
        <f>IFERROR(MIN(C32,D32)*E32/C32,0)</f>
        <v/>
      </c>
      <c r="G32" s="9" t="n"/>
    </row>
    <row r="33" ht="14.15" customHeight="1">
      <c r="A33" s="14" t="n">
        <v>18</v>
      </c>
      <c r="B33" s="8" t="inlineStr">
        <is>
          <t>Defective Mobile Phone</t>
        </is>
      </c>
      <c r="C33" s="9" t="n">
        <v>15</v>
      </c>
      <c r="D33" s="9" t="n">
        <v>0</v>
      </c>
      <c r="E33" s="9" t="n">
        <v>8</v>
      </c>
      <c r="F33" s="9">
        <f>IFERROR(MIN(C33,D33)*E33/C33,0)</f>
        <v/>
      </c>
      <c r="G33" s="9" t="n"/>
    </row>
    <row r="34" ht="14.15" customHeight="1">
      <c r="A34" s="14" t="n">
        <v>19</v>
      </c>
      <c r="B34" s="8" t="inlineStr">
        <is>
          <t>New Mobile Phone</t>
        </is>
      </c>
      <c r="C34" s="9" t="n">
        <v>10</v>
      </c>
      <c r="D34" s="9" t="n">
        <v>0</v>
      </c>
      <c r="E34" s="9" t="n">
        <v>6</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PLC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PLC operation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PLC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 with PLC software</t>
        </is>
      </c>
      <c r="C16" s="9" t="n">
        <v>25</v>
      </c>
      <c r="D16" s="9" t="n">
        <v>0</v>
      </c>
      <c r="E16" s="9" t="n">
        <v>10</v>
      </c>
      <c r="F16" s="9">
        <f>IFERROR(MIN(C16,D16)*E16/C16,0)</f>
        <v/>
      </c>
      <c r="G16" s="9" t="n"/>
    </row>
    <row r="17" ht="14.15" customHeight="1">
      <c r="A17" s="14" t="n">
        <v>2</v>
      </c>
      <c r="B17" s="8" t="inlineStr">
        <is>
          <t>HMI (Human-Machine Interface)</t>
        </is>
      </c>
      <c r="C17" s="9" t="n">
        <v>10</v>
      </c>
      <c r="D17" s="9" t="n">
        <v>0</v>
      </c>
      <c r="E17" s="9" t="n">
        <v>9</v>
      </c>
      <c r="F17" s="9">
        <f>IFERROR(MIN(C17,D17)*E17/C17,0)</f>
        <v/>
      </c>
      <c r="G17" s="9" t="n"/>
    </row>
    <row r="18" ht="14.15" customHeight="1">
      <c r="A18" s="14" t="n">
        <v>3</v>
      </c>
      <c r="B18" s="8" t="inlineStr">
        <is>
          <t>PLC with required modules (Siemens S7-1200, Mitsubishi and Delta)</t>
        </is>
      </c>
      <c r="C18" s="9" t="n">
        <v>10</v>
      </c>
      <c r="D18" s="9" t="n">
        <v>0</v>
      </c>
      <c r="E18" s="9" t="n">
        <v>10</v>
      </c>
      <c r="F18" s="9">
        <f>IFERROR(MIN(C18,D18)*E18/C18,0)</f>
        <v/>
      </c>
      <c r="G18" s="9" t="n"/>
    </row>
    <row r="19" ht="14.15" customHeight="1">
      <c r="A19" s="14" t="n">
        <v>4</v>
      </c>
      <c r="B19" s="8" t="inlineStr">
        <is>
          <t>PLC to HMI communication cable</t>
        </is>
      </c>
      <c r="C19" s="9" t="n">
        <v>10</v>
      </c>
      <c r="D19" s="9" t="n">
        <v>0</v>
      </c>
      <c r="E19" s="9" t="n">
        <v>5</v>
      </c>
      <c r="F19" s="9">
        <f>IFERROR(MIN(C19,D19)*E19/C19,0)</f>
        <v/>
      </c>
      <c r="G19" s="9" t="n"/>
    </row>
    <row r="20" ht="14.15" customHeight="1">
      <c r="A20" s="14" t="n">
        <v>5</v>
      </c>
      <c r="B20" s="8" t="inlineStr">
        <is>
          <t>PLC Programming cable</t>
        </is>
      </c>
      <c r="C20" s="9" t="n">
        <v>10</v>
      </c>
      <c r="D20" s="9" t="n">
        <v>0</v>
      </c>
      <c r="E20" s="9" t="n">
        <v>5</v>
      </c>
      <c r="F20" s="9">
        <f>IFERROR(MIN(C20,D20)*E20/C20,0)</f>
        <v/>
      </c>
      <c r="G20" s="9" t="n"/>
    </row>
    <row r="21" ht="14.15" customHeight="1">
      <c r="A21" s="14" t="n">
        <v>6</v>
      </c>
      <c r="B21" s="8" t="inlineStr">
        <is>
          <t>Limit Switch</t>
        </is>
      </c>
      <c r="C21" s="9" t="n">
        <v>25</v>
      </c>
      <c r="D21" s="9" t="n">
        <v>0</v>
      </c>
      <c r="E21" s="9" t="n">
        <v>6</v>
      </c>
      <c r="F21" s="9">
        <f>IFERROR(MIN(C21,D21)*E21/C21,0)</f>
        <v/>
      </c>
      <c r="G21" s="9" t="n"/>
    </row>
    <row r="22" ht="14.15" customHeight="1">
      <c r="A22" s="14" t="n">
        <v>7</v>
      </c>
      <c r="B22" s="8" t="inlineStr">
        <is>
          <t>Proximity Sensor</t>
        </is>
      </c>
      <c r="C22" s="9" t="n">
        <v>25</v>
      </c>
      <c r="D22" s="9" t="n">
        <v>0</v>
      </c>
      <c r="E22" s="9" t="n">
        <v>6</v>
      </c>
      <c r="F22" s="9">
        <f>IFERROR(MIN(C22,D22)*E22/C22,0)</f>
        <v/>
      </c>
      <c r="G22" s="9" t="n"/>
    </row>
    <row r="23" ht="14.15" customHeight="1">
      <c r="A23" s="14" t="n">
        <v>8</v>
      </c>
      <c r="B23" s="8" t="inlineStr">
        <is>
          <t>Photo Electric</t>
        </is>
      </c>
      <c r="C23" s="9" t="n">
        <v>25</v>
      </c>
      <c r="D23" s="9" t="n">
        <v>0</v>
      </c>
      <c r="E23" s="9" t="n">
        <v>6</v>
      </c>
      <c r="F23" s="9">
        <f>IFERROR(MIN(C23,D23)*E23/C23,0)</f>
        <v/>
      </c>
      <c r="G23" s="9" t="n"/>
    </row>
    <row r="24" ht="14.15" customHeight="1">
      <c r="A24" s="14" t="n">
        <v>9</v>
      </c>
      <c r="B24" s="8" t="inlineStr">
        <is>
          <t>Float Sensor</t>
        </is>
      </c>
      <c r="C24" s="9" t="n">
        <v>10</v>
      </c>
      <c r="D24" s="9" t="n">
        <v>0</v>
      </c>
      <c r="E24" s="9" t="n">
        <v>5</v>
      </c>
      <c r="F24" s="9">
        <f>IFERROR(MIN(C24,D24)*E24/C24,0)</f>
        <v/>
      </c>
      <c r="G24" s="9" t="n"/>
    </row>
    <row r="25" ht="14.15" customHeight="1">
      <c r="A25" s="14" t="n">
        <v>10</v>
      </c>
      <c r="B25" s="8" t="inlineStr">
        <is>
          <t>Pressure Sensor/Transmitter</t>
        </is>
      </c>
      <c r="C25" s="9" t="n">
        <v>10</v>
      </c>
      <c r="D25" s="9" t="n">
        <v>0</v>
      </c>
      <c r="E25" s="9" t="n">
        <v>6</v>
      </c>
      <c r="F25" s="9">
        <f>IFERROR(MIN(C25,D25)*E25/C25,0)</f>
        <v/>
      </c>
      <c r="G25" s="9" t="n"/>
    </row>
    <row r="26" ht="14.15" customHeight="1">
      <c r="A26" s="14" t="n">
        <v>11</v>
      </c>
      <c r="B26" s="8" t="inlineStr">
        <is>
          <t>Temperature Sensor RTD</t>
        </is>
      </c>
      <c r="C26" s="9" t="n">
        <v>10</v>
      </c>
      <c r="D26" s="9" t="n">
        <v>0</v>
      </c>
      <c r="E26" s="9" t="n">
        <v>5</v>
      </c>
      <c r="F26" s="9">
        <f>IFERROR(MIN(C26,D26)*E26/C26,0)</f>
        <v/>
      </c>
      <c r="G26" s="9" t="n"/>
    </row>
    <row r="27" ht="14.15" customHeight="1">
      <c r="A27" s="14" t="n">
        <v>12</v>
      </c>
      <c r="B27" s="8" t="inlineStr">
        <is>
          <t>Temperature Sensor Thermocouple</t>
        </is>
      </c>
      <c r="C27" s="9" t="n">
        <v>10</v>
      </c>
      <c r="D27" s="9" t="n">
        <v>0</v>
      </c>
      <c r="E27" s="9" t="n">
        <v>5</v>
      </c>
      <c r="F27" s="9">
        <f>IFERROR(MIN(C27,D27)*E27/C27,0)</f>
        <v/>
      </c>
      <c r="G27" s="9" t="n"/>
    </row>
    <row r="28" ht="14.15" customHeight="1">
      <c r="A28" s="14" t="n">
        <v>13</v>
      </c>
      <c r="B28" s="8" t="inlineStr">
        <is>
          <t>Push button switch (green)</t>
        </is>
      </c>
      <c r="C28" s="9" t="n">
        <v>50</v>
      </c>
      <c r="D28" s="9" t="n">
        <v>0</v>
      </c>
      <c r="E28" s="9" t="n">
        <v>3</v>
      </c>
      <c r="F28" s="9">
        <f>IFERROR(MIN(C28,D28)*E28/C28,0)</f>
        <v/>
      </c>
      <c r="G28" s="9" t="n"/>
    </row>
    <row r="29" ht="14.15" customHeight="1">
      <c r="A29" s="14" t="n">
        <v>14</v>
      </c>
      <c r="B29" s="8" t="inlineStr">
        <is>
          <t>Push button switch (red)</t>
        </is>
      </c>
      <c r="C29" s="9" t="n">
        <v>25</v>
      </c>
      <c r="D29" s="9" t="n">
        <v>0</v>
      </c>
      <c r="E29" s="9" t="n">
        <v>3</v>
      </c>
      <c r="F29" s="9">
        <f>IFERROR(MIN(C29,D29)*E29/C29,0)</f>
        <v/>
      </c>
      <c r="G29" s="9" t="n"/>
    </row>
    <row r="30" ht="14.15" customHeight="1">
      <c r="A30" s="14" t="n">
        <v>15</v>
      </c>
      <c r="B30" s="8" t="inlineStr">
        <is>
          <t>Selector switch</t>
        </is>
      </c>
      <c r="C30" s="9" t="n">
        <v>25</v>
      </c>
      <c r="D30" s="9" t="n">
        <v>0</v>
      </c>
      <c r="E30" s="9" t="n">
        <v>3</v>
      </c>
      <c r="F30" s="9">
        <f>IFERROR(MIN(C30,D30)*E30/C30,0)</f>
        <v/>
      </c>
      <c r="G30" s="9" t="n"/>
    </row>
    <row r="31" ht="14.15" customHeight="1">
      <c r="A31" s="14" t="n">
        <v>16</v>
      </c>
      <c r="B31" s="8" t="inlineStr">
        <is>
          <t>Emergency stop switch</t>
        </is>
      </c>
      <c r="C31" s="9" t="n">
        <v>25</v>
      </c>
      <c r="D31" s="9" t="n">
        <v>0</v>
      </c>
      <c r="E31" s="9" t="n">
        <v>4</v>
      </c>
      <c r="F31" s="9">
        <f>IFERROR(MIN(C31,D31)*E31/C31,0)</f>
        <v/>
      </c>
      <c r="G31" s="9" t="n"/>
    </row>
    <row r="32" ht="14.15" customHeight="1">
      <c r="A32" s="14" t="n">
        <v>17</v>
      </c>
      <c r="B32" s="8" t="inlineStr">
        <is>
          <t>Indication lamp</t>
        </is>
      </c>
      <c r="C32" s="9" t="n">
        <v>50</v>
      </c>
      <c r="D32" s="9" t="n">
        <v>0</v>
      </c>
      <c r="E32" s="9" t="n">
        <v>3</v>
      </c>
      <c r="F32" s="9">
        <f>IFERROR(MIN(C32,D32)*E32/C32,0)</f>
        <v/>
      </c>
      <c r="G32" s="9" t="n"/>
    </row>
    <row r="33" ht="14.15" customHeight="1">
      <c r="A33" s="14" t="n">
        <v>18</v>
      </c>
      <c r="B33" s="8" t="inlineStr">
        <is>
          <t>Magnetic contactor</t>
        </is>
      </c>
      <c r="C33" s="9" t="n">
        <v>100</v>
      </c>
      <c r="D33" s="9" t="n">
        <v>0</v>
      </c>
      <c r="E33" s="9" t="n">
        <v>5</v>
      </c>
      <c r="F33" s="9">
        <f>IFERROR(MIN(C33,D33)*E33/C33,0)</f>
        <v/>
      </c>
      <c r="G33" s="9" t="n"/>
    </row>
    <row r="34" ht="14.15" customHeight="1">
      <c r="A34" s="14" t="n">
        <v>19</v>
      </c>
      <c r="B34" s="8" t="inlineStr">
        <is>
          <t>Relay</t>
        </is>
      </c>
      <c r="C34" s="9" t="n">
        <v>100</v>
      </c>
      <c r="D34" s="9" t="n">
        <v>0</v>
      </c>
      <c r="E34" s="9" t="n">
        <v>5</v>
      </c>
      <c r="F34" s="9">
        <f>IFERROR(MIN(C34,D34)*E34/C34,0)</f>
        <v/>
      </c>
      <c r="G34" s="9" t="n"/>
    </row>
    <row r="35" ht="14.15" customHeight="1">
      <c r="A35" s="14" t="n">
        <v>20</v>
      </c>
      <c r="B35" s="8" t="inlineStr">
        <is>
          <t>Timer</t>
        </is>
      </c>
      <c r="C35" s="9" t="n">
        <v>100</v>
      </c>
      <c r="D35" s="9" t="n">
        <v>0</v>
      </c>
      <c r="E35" s="9" t="n">
        <v>5</v>
      </c>
      <c r="F35" s="9">
        <f>IFERROR(MIN(C35,D35)*E35/C35,0)</f>
        <v/>
      </c>
      <c r="G35" s="9" t="n"/>
    </row>
    <row r="36" ht="14.15" customHeight="1">
      <c r="A36" s="14" t="n">
        <v>21</v>
      </c>
      <c r="B36" s="8" t="inlineStr">
        <is>
          <t>Counter</t>
        </is>
      </c>
      <c r="C36" s="9" t="n">
        <v>25</v>
      </c>
      <c r="D36" s="9" t="n">
        <v>0</v>
      </c>
      <c r="E36" s="9" t="n">
        <v>4</v>
      </c>
      <c r="F36" s="9">
        <f>IFERROR(MIN(C36,D36)*E36/C36,0)</f>
        <v/>
      </c>
      <c r="G36" s="9" t="n"/>
    </row>
    <row r="37" ht="14.15" customHeight="1">
      <c r="A37" s="14" t="n">
        <v>22</v>
      </c>
      <c r="B37" s="8" t="inlineStr">
        <is>
          <t>Three phase induction motor</t>
        </is>
      </c>
      <c r="C37" s="9" t="n">
        <v>10</v>
      </c>
      <c r="D37" s="9" t="n">
        <v>0</v>
      </c>
      <c r="E37" s="9" t="n">
        <v>8</v>
      </c>
      <c r="F37" s="9">
        <f>IFERROR(MIN(C37,D37)*E37/C37,0)</f>
        <v/>
      </c>
      <c r="G37" s="9" t="n"/>
    </row>
    <row r="38" ht="14.15" customHeight="1">
      <c r="A38" s="14" t="n">
        <v>23</v>
      </c>
      <c r="B38" s="8" t="inlineStr">
        <is>
          <t>Single phase induction motor</t>
        </is>
      </c>
      <c r="C38" s="9" t="n">
        <v>5</v>
      </c>
      <c r="D38" s="9" t="n">
        <v>0</v>
      </c>
      <c r="E38" s="9" t="n">
        <v>6</v>
      </c>
      <c r="F38" s="9">
        <f>IFERROR(MIN(C38,D38)*E38/C38,0)</f>
        <v/>
      </c>
      <c r="G38" s="9" t="n"/>
    </row>
    <row r="39" ht="14.15" customHeight="1">
      <c r="A39" s="14" t="n">
        <v>24</v>
      </c>
      <c r="B39" s="8" t="inlineStr">
        <is>
          <t>VFDs-Variable Frequency Drives</t>
        </is>
      </c>
      <c r="C39" s="9" t="n">
        <v>10</v>
      </c>
      <c r="D39" s="9" t="n">
        <v>0</v>
      </c>
      <c r="E39" s="9" t="n">
        <v>8</v>
      </c>
      <c r="F39" s="9">
        <f>IFERROR(MIN(C39,D39)*E39/C39,0)</f>
        <v/>
      </c>
      <c r="G39" s="9" t="n"/>
    </row>
    <row r="40" ht="14.15" customHeight="1">
      <c r="A40" s="14" t="n">
        <v>25</v>
      </c>
      <c r="B40" s="8" t="inlineStr">
        <is>
          <t>Power supply</t>
        </is>
      </c>
      <c r="C40" s="9" t="n">
        <v>10</v>
      </c>
      <c r="D40" s="9" t="n">
        <v>0</v>
      </c>
      <c r="E40" s="9" t="n">
        <v>6</v>
      </c>
      <c r="F40" s="9">
        <f>IFERROR(MIN(C40,D40)*E40/C40,0)</f>
        <v/>
      </c>
      <c r="G40" s="9" t="n"/>
    </row>
    <row r="41" ht="14.15" customHeight="1">
      <c r="A41" s="14" t="n">
        <v>26</v>
      </c>
      <c r="B41" s="8" t="inlineStr">
        <is>
          <t>Automatic voltage stabilizer</t>
        </is>
      </c>
      <c r="C41" s="9" t="n">
        <v>1</v>
      </c>
      <c r="D41" s="9" t="n">
        <v>0</v>
      </c>
      <c r="E41" s="9" t="n">
        <v>4</v>
      </c>
      <c r="F41" s="9">
        <f>IFERROR(MIN(C41,D41)*E41/C41,0)</f>
        <v/>
      </c>
      <c r="G41" s="9" t="n"/>
    </row>
    <row r="42" ht="14.15" customHeight="1">
      <c r="A42" s="14" t="n">
        <v>27</v>
      </c>
      <c r="B42" s="8" t="inlineStr">
        <is>
          <t>Air compressor</t>
        </is>
      </c>
      <c r="C42" s="9" t="n">
        <v>1</v>
      </c>
      <c r="D42" s="9" t="n">
        <v>0</v>
      </c>
      <c r="E42" s="9" t="n">
        <v>6</v>
      </c>
      <c r="F42" s="9">
        <f>IFERROR(MIN(C42,D42)*E42/C42,0)</f>
        <v/>
      </c>
      <c r="G42" s="9" t="n"/>
    </row>
    <row r="43" ht="14.15" customHeight="1">
      <c r="A43" s="14" t="n">
        <v>28</v>
      </c>
      <c r="B43" s="8" t="inlineStr">
        <is>
          <t>Hydraulic power pack</t>
        </is>
      </c>
      <c r="C43" s="9" t="n">
        <v>1</v>
      </c>
      <c r="D43" s="9" t="n">
        <v>0</v>
      </c>
      <c r="E43" s="9" t="n">
        <v>6</v>
      </c>
      <c r="F43" s="9">
        <f>IFERROR(MIN(C43,D43)*E43/C43,0)</f>
        <v/>
      </c>
      <c r="G43" s="9" t="n"/>
    </row>
    <row r="44" ht="14.15" customHeight="1">
      <c r="A44" s="14" t="n">
        <v>29</v>
      </c>
      <c r="B44" s="8" t="inlineStr">
        <is>
          <t>Measuring devices set</t>
        </is>
      </c>
      <c r="C44" s="9" t="n">
        <v>1</v>
      </c>
      <c r="D44" s="9" t="n">
        <v>0</v>
      </c>
      <c r="E44" s="9" t="n">
        <v>4</v>
      </c>
      <c r="F44" s="9">
        <f>IFERROR(MIN(C44,D44)*E44/C44,0)</f>
        <v/>
      </c>
      <c r="G44" s="9" t="n"/>
    </row>
    <row r="45">
      <c r="A45" s="15" t="inlineStr">
        <is>
          <t>Sum</t>
        </is>
      </c>
      <c r="B45" s="11" t="n"/>
      <c r="C45" s="11" t="n"/>
      <c r="D45" s="12" t="n"/>
      <c r="E45" s="15">
        <f>SUM(E16:E44)</f>
        <v/>
      </c>
      <c r="F45" s="15">
        <f>SUM(F16:F44)</f>
        <v/>
      </c>
      <c r="G45" s="13" t="n"/>
    </row>
    <row r="46">
      <c r="A46" s="15" t="inlineStr">
        <is>
          <t>Score out of 100</t>
        </is>
      </c>
      <c r="B46" s="11" t="n"/>
      <c r="C46" s="11" t="n"/>
      <c r="D46" s="11" t="n"/>
      <c r="E46" s="12" t="n"/>
      <c r="F46" s="15">
        <f>F45/E45*100</f>
        <v/>
      </c>
      <c r="G46" s="13" t="n"/>
    </row>
    <row r="47" ht="9.75" customHeight="1"/>
    <row r="48">
      <c r="A48" s="15" t="inlineStr">
        <is>
          <t xml:space="preserve">Total achieved points out of 30  </t>
        </is>
      </c>
      <c r="B48" s="11" t="n"/>
      <c r="C48" s="11" t="n"/>
      <c r="D48" s="11" t="n"/>
      <c r="E48" s="12" t="n"/>
      <c r="F48" s="15">
        <f>F46*30/100</f>
        <v/>
      </c>
      <c r="G48" s="15" t="inlineStr">
        <is>
          <t>Points</t>
        </is>
      </c>
    </row>
  </sheetData>
  <mergeCells count="8">
    <mergeCell ref="A45:D45"/>
    <mergeCell ref="A13:G13"/>
    <mergeCell ref="C7:G7"/>
    <mergeCell ref="A1:G1"/>
    <mergeCell ref="A48:E48"/>
    <mergeCell ref="A46:E46"/>
    <mergeCell ref="C8:G8"/>
    <mergeCell ref="A47:G4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Culinary Art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Culinary Art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Culinary Art,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Cooking station (02 burner each station)</t>
        </is>
      </c>
      <c r="C18" s="9" t="n">
        <v>10</v>
      </c>
      <c r="D18" s="9" t="n">
        <v>0</v>
      </c>
      <c r="E18" s="9" t="n">
        <v>10</v>
      </c>
      <c r="F18" s="9">
        <f>IFERROR(MIN(C18,D18)*E18/C18,0)</f>
        <v/>
      </c>
      <c r="G18" s="9" t="n"/>
    </row>
    <row r="19" ht="14.15" customHeight="1">
      <c r="A19" s="14" t="n">
        <v>4</v>
      </c>
      <c r="B19" s="8" t="inlineStr">
        <is>
          <t>Electric and induction stoves</t>
        </is>
      </c>
      <c r="C19" s="9" t="n">
        <v>5</v>
      </c>
      <c r="D19" s="9" t="n">
        <v>0</v>
      </c>
      <c r="E19" s="9" t="n">
        <v>9</v>
      </c>
      <c r="F19" s="9">
        <f>IFERROR(MIN(C19,D19)*E19/C19,0)</f>
        <v/>
      </c>
      <c r="G19" s="9" t="n"/>
    </row>
    <row r="20" ht="14.15" customHeight="1">
      <c r="A20" s="14" t="n">
        <v>5</v>
      </c>
      <c r="B20" s="8" t="inlineStr">
        <is>
          <t>Food processors</t>
        </is>
      </c>
      <c r="C20" s="9" t="n">
        <v>2</v>
      </c>
      <c r="D20" s="9" t="n">
        <v>0</v>
      </c>
      <c r="E20" s="9" t="n">
        <v>6</v>
      </c>
      <c r="F20" s="9">
        <f>IFERROR(MIN(C20,D20)*E20/C20,0)</f>
        <v/>
      </c>
      <c r="G20" s="9" t="n"/>
    </row>
    <row r="21" ht="14.15" customHeight="1">
      <c r="A21" s="14" t="n">
        <v>6</v>
      </c>
      <c r="B21" s="8" t="inlineStr">
        <is>
          <t>Blender Machine</t>
        </is>
      </c>
      <c r="C21" s="9" t="n">
        <v>3</v>
      </c>
      <c r="D21" s="9" t="n">
        <v>0</v>
      </c>
      <c r="E21" s="9" t="n">
        <v>5</v>
      </c>
      <c r="F21" s="9">
        <f>IFERROR(MIN(C21,D21)*E21/C21,0)</f>
        <v/>
      </c>
      <c r="G21" s="9" t="n"/>
    </row>
    <row r="22" ht="14.15" customHeight="1">
      <c r="A22" s="14" t="n">
        <v>7</v>
      </c>
      <c r="B22" s="8" t="inlineStr">
        <is>
          <t>Refrigerator (200-300 L)</t>
        </is>
      </c>
      <c r="C22" s="9" t="n">
        <v>1</v>
      </c>
      <c r="D22" s="9" t="n">
        <v>0</v>
      </c>
      <c r="E22" s="9" t="n">
        <v>8</v>
      </c>
      <c r="F22" s="9">
        <f>IFERROR(MIN(C22,D22)*E22/C22,0)</f>
        <v/>
      </c>
      <c r="G22" s="9" t="n"/>
    </row>
    <row r="23" ht="14.15" customHeight="1">
      <c r="A23" s="14" t="n">
        <v>8</v>
      </c>
      <c r="B23" s="8" t="inlineStr">
        <is>
          <t>Freezers (200-300 L)</t>
        </is>
      </c>
      <c r="C23" s="9" t="n">
        <v>1</v>
      </c>
      <c r="D23" s="9" t="n">
        <v>0</v>
      </c>
      <c r="E23" s="9" t="n">
        <v>7</v>
      </c>
      <c r="F23" s="9">
        <f>IFERROR(MIN(C23,D23)*E23/C23,0)</f>
        <v/>
      </c>
      <c r="G23" s="9" t="n"/>
    </row>
    <row r="24" ht="14.15" customHeight="1">
      <c r="A24" s="14" t="n">
        <v>9</v>
      </c>
      <c r="B24" s="8" t="inlineStr">
        <is>
          <t>Microwave oven</t>
        </is>
      </c>
      <c r="C24" s="9" t="n">
        <v>1</v>
      </c>
      <c r="D24" s="9" t="n">
        <v>0</v>
      </c>
      <c r="E24" s="9" t="n">
        <v>6</v>
      </c>
      <c r="F24" s="9">
        <f>IFERROR(MIN(C24,D24)*E24/C24,0)</f>
        <v/>
      </c>
      <c r="G24" s="9" t="n"/>
    </row>
    <row r="25" ht="14.15" customHeight="1">
      <c r="A25" s="14" t="n">
        <v>10</v>
      </c>
      <c r="B25" s="8" t="inlineStr">
        <is>
          <t>Griller</t>
        </is>
      </c>
      <c r="C25" s="9" t="n">
        <v>1</v>
      </c>
      <c r="D25" s="9" t="n">
        <v>0</v>
      </c>
      <c r="E25" s="9" t="n">
        <v>6</v>
      </c>
      <c r="F25" s="9">
        <f>IFERROR(MIN(C25,D25)*E25/C25,0)</f>
        <v/>
      </c>
      <c r="G25" s="9" t="n"/>
    </row>
    <row r="26" ht="14.15" customHeight="1">
      <c r="A26" s="14" t="n">
        <v>11</v>
      </c>
      <c r="B26" s="8" t="inlineStr">
        <is>
          <t>Meat mincer</t>
        </is>
      </c>
      <c r="C26" s="9" t="n">
        <v>1</v>
      </c>
      <c r="D26" s="9" t="n">
        <v>0</v>
      </c>
      <c r="E26" s="9" t="n">
        <v>5</v>
      </c>
      <c r="F26" s="9">
        <f>IFERROR(MIN(C26,D26)*E26/C26,0)</f>
        <v/>
      </c>
      <c r="G26" s="9" t="n"/>
    </row>
    <row r="27" ht="14.15" customHeight="1">
      <c r="A27" s="14" t="n">
        <v>12</v>
      </c>
      <c r="B27" s="8" t="inlineStr">
        <is>
          <t>Convection Oven/Deck oven</t>
        </is>
      </c>
      <c r="C27" s="9" t="n">
        <v>1</v>
      </c>
      <c r="D27" s="9" t="n">
        <v>0</v>
      </c>
      <c r="E27" s="9" t="n">
        <v>8</v>
      </c>
      <c r="F27" s="9">
        <f>IFERROR(MIN(C27,D27)*E27/C27,0)</f>
        <v/>
      </c>
      <c r="G27" s="9" t="n"/>
    </row>
    <row r="28" ht="14.15" customHeight="1">
      <c r="A28" s="14" t="n">
        <v>13</v>
      </c>
      <c r="B28" s="8" t="inlineStr">
        <is>
          <t>Working table (preferred size – 6ft x 3ft)</t>
        </is>
      </c>
      <c r="C28" s="9" t="n">
        <v>5</v>
      </c>
      <c r="D28" s="9" t="n">
        <v>0</v>
      </c>
      <c r="E28" s="9" t="n">
        <v>4</v>
      </c>
      <c r="F28" s="9">
        <f>IFERROR(MIN(C28,D28)*E28/C28,0)</f>
        <v/>
      </c>
      <c r="G28" s="9" t="n"/>
    </row>
    <row r="29" ht="14.15" customHeight="1">
      <c r="A29" s="14" t="n">
        <v>14</v>
      </c>
      <c r="B29" s="8" t="inlineStr">
        <is>
          <t>Table with Sink</t>
        </is>
      </c>
      <c r="C29" s="9" t="n">
        <v>2</v>
      </c>
      <c r="D29" s="9" t="n">
        <v>0</v>
      </c>
      <c r="E29" s="9" t="n">
        <v>4</v>
      </c>
      <c r="F29" s="9">
        <f>IFERROR(MIN(C29,D29)*E29/C29,0)</f>
        <v/>
      </c>
      <c r="G29" s="9" t="n"/>
    </row>
    <row r="30" ht="14.15" customHeight="1">
      <c r="A30" s="14" t="n">
        <v>15</v>
      </c>
      <c r="B30" s="8" t="inlineStr">
        <is>
          <t>Hand wash Sink</t>
        </is>
      </c>
      <c r="C30" s="9" t="n">
        <v>1</v>
      </c>
      <c r="D30" s="9" t="n">
        <v>0</v>
      </c>
      <c r="E30" s="9" t="n">
        <v>4</v>
      </c>
      <c r="F30" s="9">
        <f>IFERROR(MIN(C30,D30)*E30/C30,0)</f>
        <v/>
      </c>
      <c r="G30" s="9" t="n"/>
    </row>
    <row r="31" ht="14.15" customHeight="1">
      <c r="A31" s="14" t="n">
        <v>16</v>
      </c>
      <c r="B31" s="8" t="inlineStr">
        <is>
          <t>Frying pan (24cm)</t>
        </is>
      </c>
      <c r="C31" s="9" t="n">
        <v>12</v>
      </c>
      <c r="D31" s="9" t="n">
        <v>0</v>
      </c>
      <c r="E31" s="9" t="n">
        <v>4</v>
      </c>
      <c r="F31" s="9">
        <f>IFERROR(MIN(C31,D31)*E31/C31,0)</f>
        <v/>
      </c>
      <c r="G31" s="9" t="n"/>
    </row>
    <row r="32" ht="14.15" customHeight="1">
      <c r="A32" s="14" t="n">
        <v>17</v>
      </c>
      <c r="B32" s="8" t="inlineStr">
        <is>
          <t>Cooking pan (medium size)</t>
        </is>
      </c>
      <c r="C32" s="9" t="n">
        <v>12</v>
      </c>
      <c r="D32" s="9" t="n">
        <v>0</v>
      </c>
      <c r="E32" s="9" t="n">
        <v>4</v>
      </c>
      <c r="F32" s="9">
        <f>IFERROR(MIN(C32,D32)*E32/C32,0)</f>
        <v/>
      </c>
      <c r="G32" s="9" t="n"/>
    </row>
    <row r="33" ht="14.15" customHeight="1">
      <c r="A33" s="14" t="n">
        <v>18</v>
      </c>
      <c r="B33" s="8" t="inlineStr">
        <is>
          <t>Weighing Scale (Preferred capacity 10 kg)</t>
        </is>
      </c>
      <c r="C33" s="9" t="n">
        <v>1</v>
      </c>
      <c r="D33" s="9" t="n">
        <v>0</v>
      </c>
      <c r="E33" s="9" t="n">
        <v>3</v>
      </c>
      <c r="F33" s="9">
        <f>IFERROR(MIN(C33,D33)*E33/C33,0)</f>
        <v/>
      </c>
      <c r="G33" s="9" t="n"/>
    </row>
    <row r="34" ht="14.15" customHeight="1">
      <c r="A34" s="14" t="n">
        <v>19</v>
      </c>
      <c r="B34" s="8" t="inlineStr">
        <is>
          <t>Weighing Scale (Preferred capacity 1 kg)</t>
        </is>
      </c>
      <c r="C34" s="9" t="n">
        <v>2</v>
      </c>
      <c r="D34" s="9" t="n">
        <v>0</v>
      </c>
      <c r="E34" s="9" t="n">
        <v>3</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 with internet facility</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Plumbing workstation/ booth with fitting fixture installation facility</t>
        </is>
      </c>
      <c r="C18" s="9" t="n">
        <v>5</v>
      </c>
      <c r="D18" s="9" t="n">
        <v>0</v>
      </c>
      <c r="E18" s="9" t="n">
        <v>9</v>
      </c>
      <c r="F18" s="9">
        <f>IFERROR(MIN(C18,D18)*E18/C18,0)</f>
        <v/>
      </c>
      <c r="G18" s="9" t="n"/>
    </row>
    <row r="19" ht="14.15" customHeight="1">
      <c r="A19" s="14" t="n">
        <v>4</v>
      </c>
      <c r="B19" s="8" t="inlineStr">
        <is>
          <t>Kitchen Sink</t>
        </is>
      </c>
      <c r="C19" s="9" t="n">
        <v>2</v>
      </c>
      <c r="D19" s="9" t="n">
        <v>0</v>
      </c>
      <c r="E19" s="9" t="n">
        <v>6</v>
      </c>
      <c r="F19" s="9">
        <f>IFERROR(MIN(C19,D19)*E19/C19,0)</f>
        <v/>
      </c>
      <c r="G19" s="9" t="n"/>
    </row>
    <row r="20" ht="14.15" customHeight="1">
      <c r="A20" s="14" t="n">
        <v>5</v>
      </c>
      <c r="B20" s="8" t="inlineStr">
        <is>
          <t>Water Basin</t>
        </is>
      </c>
      <c r="C20" s="9" t="n">
        <v>5</v>
      </c>
      <c r="D20" s="9" t="n">
        <v>0</v>
      </c>
      <c r="E20" s="9" t="n">
        <v>6</v>
      </c>
      <c r="F20" s="9">
        <f>IFERROR(MIN(C20,D20)*E20/C20,0)</f>
        <v/>
      </c>
      <c r="G20" s="9" t="n"/>
    </row>
    <row r="21" ht="14.15" customHeight="1">
      <c r="A21" s="14" t="n">
        <v>6</v>
      </c>
      <c r="B21" s="8" t="inlineStr">
        <is>
          <t>Western commode</t>
        </is>
      </c>
      <c r="C21" s="9" t="n">
        <v>5</v>
      </c>
      <c r="D21" s="9" t="n">
        <v>0</v>
      </c>
      <c r="E21" s="9" t="n">
        <v>7</v>
      </c>
      <c r="F21" s="9">
        <f>IFERROR(MIN(C21,D21)*E21/C21,0)</f>
        <v/>
      </c>
      <c r="G21" s="9" t="n"/>
    </row>
    <row r="22" ht="14.15" customHeight="1">
      <c r="A22" s="14" t="n">
        <v>7</v>
      </c>
      <c r="B22" s="8" t="inlineStr">
        <is>
          <t>Asian commode</t>
        </is>
      </c>
      <c r="C22" s="9" t="n">
        <v>5</v>
      </c>
      <c r="D22" s="9" t="n">
        <v>0</v>
      </c>
      <c r="E22" s="9" t="n">
        <v>7</v>
      </c>
      <c r="F22" s="9">
        <f>IFERROR(MIN(C22,D22)*E22/C22,0)</f>
        <v/>
      </c>
      <c r="G22" s="9" t="n"/>
    </row>
    <row r="23" ht="14.15" customHeight="1">
      <c r="A23" s="14" t="n">
        <v>8</v>
      </c>
      <c r="B23" s="8" t="inlineStr">
        <is>
          <t>Urinal</t>
        </is>
      </c>
      <c r="C23" s="9" t="n">
        <v>2</v>
      </c>
      <c r="D23" s="9" t="n">
        <v>0</v>
      </c>
      <c r="E23" s="9" t="n">
        <v>5</v>
      </c>
      <c r="F23" s="9">
        <f>IFERROR(MIN(C23,D23)*E23/C23,0)</f>
        <v/>
      </c>
      <c r="G23" s="9" t="n"/>
    </row>
    <row r="24" ht="14.15" customHeight="1">
      <c r="A24" s="14" t="n">
        <v>9</v>
      </c>
      <c r="B24" s="8" t="inlineStr">
        <is>
          <t>Shower unit</t>
        </is>
      </c>
      <c r="C24" s="9" t="n">
        <v>5</v>
      </c>
      <c r="D24" s="9" t="n">
        <v>0</v>
      </c>
      <c r="E24" s="9" t="n">
        <v>6</v>
      </c>
      <c r="F24" s="9">
        <f>IFERROR(MIN(C24,D24)*E24/C24,0)</f>
        <v/>
      </c>
      <c r="G24" s="9" t="n"/>
    </row>
    <row r="25" ht="14.15" customHeight="1">
      <c r="A25" s="14" t="n">
        <v>10</v>
      </c>
      <c r="B25" s="8" t="inlineStr">
        <is>
          <t>Bath tub</t>
        </is>
      </c>
      <c r="C25" s="9" t="n">
        <v>1</v>
      </c>
      <c r="D25" s="9" t="n">
        <v>0</v>
      </c>
      <c r="E25" s="9" t="n">
        <v>5</v>
      </c>
      <c r="F25" s="9">
        <f>IFERROR(MIN(C25,D25)*E25/C25,0)</f>
        <v/>
      </c>
      <c r="G25" s="9" t="n"/>
    </row>
    <row r="26" ht="14.15" customHeight="1">
      <c r="A26" s="14" t="n">
        <v>11</v>
      </c>
      <c r="B26" s="8" t="inlineStr">
        <is>
          <t>Geyser</t>
        </is>
      </c>
      <c r="C26" s="9" t="n">
        <v>2</v>
      </c>
      <c r="D26" s="9" t="n">
        <v>0</v>
      </c>
      <c r="E26" s="9" t="n">
        <v>5</v>
      </c>
      <c r="F26" s="9">
        <f>IFERROR(MIN(C26,D26)*E26/C26,0)</f>
        <v/>
      </c>
      <c r="G26" s="9" t="n"/>
    </row>
    <row r="27" ht="14.15" customHeight="1">
      <c r="A27" s="14" t="n">
        <v>12</v>
      </c>
      <c r="B27" s="8" t="inlineStr">
        <is>
          <t>Hot and cold-water mixer tap</t>
        </is>
      </c>
      <c r="C27" s="9" t="n">
        <v>5</v>
      </c>
      <c r="D27" s="9" t="n">
        <v>0</v>
      </c>
      <c r="E27" s="9" t="n">
        <v>4</v>
      </c>
      <c r="F27" s="9">
        <f>IFERROR(MIN(C27,D27)*E27/C27,0)</f>
        <v/>
      </c>
      <c r="G27" s="9" t="n"/>
    </row>
    <row r="28" ht="14.15" customHeight="1">
      <c r="A28" s="14" t="n">
        <v>13</v>
      </c>
      <c r="B28" s="8" t="inlineStr">
        <is>
          <t>Pipe vice (with stand/ work table)</t>
        </is>
      </c>
      <c r="C28" s="9" t="n">
        <v>16</v>
      </c>
      <c r="D28" s="9" t="n">
        <v>0</v>
      </c>
      <c r="E28" s="9" t="n">
        <v>8</v>
      </c>
      <c r="F28" s="9">
        <f>IFERROR(MIN(C28,D28)*E28/C28,0)</f>
        <v/>
      </c>
      <c r="G28" s="9" t="n"/>
    </row>
    <row r="29" ht="14.15" customHeight="1">
      <c r="A29" s="14" t="n">
        <v>14</v>
      </c>
      <c r="B29" s="8" t="inlineStr">
        <is>
          <t>Pipe threading machine</t>
        </is>
      </c>
      <c r="C29" s="9" t="n">
        <v>1</v>
      </c>
      <c r="D29" s="9" t="n">
        <v>0</v>
      </c>
      <c r="E29" s="9" t="n">
        <v>8</v>
      </c>
      <c r="F29" s="9">
        <f>IFERROR(MIN(C29,D29)*E29/C29,0)</f>
        <v/>
      </c>
      <c r="G29" s="9" t="n"/>
    </row>
    <row r="30" ht="14.15" customHeight="1">
      <c r="A30" s="14" t="n">
        <v>15</v>
      </c>
      <c r="B30" s="8" t="inlineStr">
        <is>
          <t>Thread cutter</t>
        </is>
      </c>
      <c r="C30" s="9" t="n">
        <v>16</v>
      </c>
      <c r="D30" s="9" t="n">
        <v>0</v>
      </c>
      <c r="E30" s="9" t="n">
        <v>6</v>
      </c>
      <c r="F30" s="9">
        <f>IFERROR(MIN(C30,D30)*E30/C30,0)</f>
        <v/>
      </c>
      <c r="G30" s="9" t="n"/>
    </row>
    <row r="31" ht="14.15" customHeight="1">
      <c r="A31" s="14" t="n">
        <v>16</v>
      </c>
      <c r="B31" s="8" t="inlineStr">
        <is>
          <t>Angle grinder</t>
        </is>
      </c>
      <c r="C31" s="9" t="n">
        <v>10</v>
      </c>
      <c r="D31" s="9" t="n">
        <v>0</v>
      </c>
      <c r="E31" s="9" t="n">
        <v>6</v>
      </c>
      <c r="F31" s="9">
        <f>IFERROR(MIN(C31,D31)*E31/C31,0)</f>
        <v/>
      </c>
      <c r="G31" s="9" t="n"/>
    </row>
    <row r="32" ht="14.15" customHeight="1">
      <c r="A32" s="14" t="n">
        <v>17</v>
      </c>
      <c r="B32" s="8" t="inlineStr">
        <is>
          <t>Pedestal grinder</t>
        </is>
      </c>
      <c r="C32" s="9" t="n">
        <v>2</v>
      </c>
      <c r="D32" s="9" t="n">
        <v>0</v>
      </c>
      <c r="E32" s="9" t="n">
        <v>5</v>
      </c>
      <c r="F32" s="9">
        <f>IFERROR(MIN(C32,D32)*E32/C32,0)</f>
        <v/>
      </c>
      <c r="G32" s="9" t="n"/>
    </row>
    <row r="33" ht="14.15" customHeight="1">
      <c r="A33" s="14" t="n">
        <v>18</v>
      </c>
      <c r="B33" s="8" t="inlineStr">
        <is>
          <t>Hammer drill machine</t>
        </is>
      </c>
      <c r="C33" s="9" t="n">
        <v>5</v>
      </c>
      <c r="D33" s="9" t="n">
        <v>0</v>
      </c>
      <c r="E33" s="9" t="n">
        <v>6</v>
      </c>
      <c r="F33" s="9">
        <f>IFERROR(MIN(C33,D33)*E33/C33,0)</f>
        <v/>
      </c>
      <c r="G33" s="9" t="n"/>
    </row>
    <row r="34" ht="14.15" customHeight="1">
      <c r="A34" s="14" t="n">
        <v>19</v>
      </c>
      <c r="B34" s="8" t="inlineStr">
        <is>
          <t>PPR welding machine</t>
        </is>
      </c>
      <c r="C34" s="9" t="n">
        <v>5</v>
      </c>
      <c r="D34" s="9" t="n">
        <v>0</v>
      </c>
      <c r="E34" s="9" t="n">
        <v>8</v>
      </c>
      <c r="F34" s="9">
        <f>IFERROR(MIN(C34,D34)*E34/C34,0)</f>
        <v/>
      </c>
      <c r="G34" s="9" t="n"/>
    </row>
    <row r="35" ht="14.15" customHeight="1">
      <c r="A35" s="14" t="n">
        <v>20</v>
      </c>
      <c r="B35" s="8" t="inlineStr">
        <is>
          <t>Core cutting machine</t>
        </is>
      </c>
      <c r="C35" s="9" t="n">
        <v>1</v>
      </c>
      <c r="D35" s="9" t="n">
        <v>0</v>
      </c>
      <c r="E35" s="9" t="n">
        <v>6</v>
      </c>
      <c r="F35" s="9">
        <f>IFERROR(MIN(C35,D35)*E35/C35,0)</f>
        <v/>
      </c>
      <c r="G35" s="9" t="n"/>
    </row>
    <row r="36" ht="14.15" customHeight="1">
      <c r="A36" s="14" t="n">
        <v>21</v>
      </c>
      <c r="B36" s="8" t="inlineStr">
        <is>
          <t>Plastic septic tank</t>
        </is>
      </c>
      <c r="C36" s="9" t="n">
        <v>1</v>
      </c>
      <c r="D36" s="9" t="n">
        <v>0</v>
      </c>
      <c r="E36" s="9" t="n">
        <v>5</v>
      </c>
      <c r="F36" s="9">
        <f>IFERROR(MIN(C36,D36)*E36/C36,0)</f>
        <v/>
      </c>
      <c r="G36" s="9" t="n"/>
    </row>
    <row r="37" ht="14.15" customHeight="1">
      <c r="A37" s="14" t="n">
        <v>22</v>
      </c>
      <c r="B37" s="8" t="inlineStr">
        <is>
          <t>Water pump</t>
        </is>
      </c>
      <c r="C37" s="9" t="n">
        <v>5</v>
      </c>
      <c r="D37" s="9" t="n">
        <v>0</v>
      </c>
      <c r="E37" s="9" t="n">
        <v>7</v>
      </c>
      <c r="F37" s="9">
        <f>IFERROR(MIN(C37,D37)*E37/C37,0)</f>
        <v/>
      </c>
      <c r="G37" s="9" t="n"/>
    </row>
    <row r="38" ht="14.15" customHeight="1">
      <c r="A38" s="14" t="n">
        <v>23</v>
      </c>
      <c r="B38" s="8" t="inlineStr">
        <is>
          <t>Overhead water Tank</t>
        </is>
      </c>
      <c r="C38" s="9" t="n">
        <v>1</v>
      </c>
      <c r="D38" s="9" t="n">
        <v>0</v>
      </c>
      <c r="E38" s="9" t="n">
        <v>5</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Quality Control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Quality Control Management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Quality Control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2</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Display Board Samples of trims (sewing trims, finishing trims) and accessories (informative, decorative, paper, plastic)</t>
        </is>
      </c>
      <c r="C19" s="9" t="n">
        <v>10</v>
      </c>
      <c r="D19" s="9" t="n">
        <v>0</v>
      </c>
      <c r="E19" s="9" t="n">
        <v>6</v>
      </c>
      <c r="F19" s="9">
        <f>IFERROR(MIN(C19,D19)*E19/C19,0)</f>
        <v/>
      </c>
      <c r="G19" s="9" t="n"/>
    </row>
    <row r="20" ht="14.15" customHeight="1">
      <c r="A20" s="14" t="n">
        <v>5</v>
      </c>
      <c r="B20" s="8" t="inlineStr">
        <is>
          <t>Fabric defect samples (yarn defects, weaving/knit defects, dyeing/printing/finishing defects)</t>
        </is>
      </c>
      <c r="C20" s="9" t="n">
        <v>20</v>
      </c>
      <c r="D20" s="9" t="n">
        <v>0</v>
      </c>
      <c r="E20" s="9" t="n">
        <v>6</v>
      </c>
      <c r="F20" s="9">
        <f>IFERROR(MIN(C20,D20)*E20/C20,0)</f>
        <v/>
      </c>
      <c r="G20" s="9" t="n"/>
    </row>
    <row r="21" ht="14.15" customHeight="1">
      <c r="A21" s="14" t="n">
        <v>6</v>
      </c>
      <c r="B21" s="8" t="inlineStr">
        <is>
          <t>Samples of different embellishments defect (prints, embroidery)</t>
        </is>
      </c>
      <c r="C21" s="9" t="n">
        <v>20</v>
      </c>
      <c r="D21" s="9" t="n">
        <v>0</v>
      </c>
      <c r="E21" s="9" t="n">
        <v>4</v>
      </c>
      <c r="F21" s="9">
        <f>IFERROR(MIN(C21,D21)*E21/C21,0)</f>
        <v/>
      </c>
      <c r="G21" s="9" t="n"/>
    </row>
    <row r="22" ht="14.15" customHeight="1">
      <c r="A22" s="14" t="n">
        <v>7</v>
      </c>
      <c r="B22" s="8" t="inlineStr">
        <is>
          <t>Samples of garment defects</t>
        </is>
      </c>
      <c r="C22" s="9" t="n">
        <v>20</v>
      </c>
      <c r="D22" s="9" t="n">
        <v>0</v>
      </c>
      <c r="E22" s="9" t="n">
        <v>4</v>
      </c>
      <c r="F22" s="9">
        <f>IFERROR(MIN(C22,D22)*E22/C22,0)</f>
        <v/>
      </c>
      <c r="G22" s="9" t="n"/>
    </row>
    <row r="23" ht="14.15" customHeight="1">
      <c r="A23" s="14" t="n">
        <v>8</v>
      </c>
      <c r="B23" s="8" t="inlineStr">
        <is>
          <t>Garments Inspection Table with Lighting System</t>
        </is>
      </c>
      <c r="C23" s="9" t="n">
        <v>2</v>
      </c>
      <c r="D23" s="9" t="n">
        <v>0</v>
      </c>
      <c r="E23" s="9" t="n">
        <v>8</v>
      </c>
      <c r="F23" s="9">
        <f>IFERROR(MIN(C23,D23)*E23/C23,0)</f>
        <v/>
      </c>
      <c r="G23" s="9" t="n"/>
    </row>
    <row r="24" ht="14.15" customHeight="1">
      <c r="A24" s="14" t="n">
        <v>9</v>
      </c>
      <c r="B24" s="8" t="inlineStr">
        <is>
          <t>Fabric Inspection Table with Lighting System (min. 6 feet)</t>
        </is>
      </c>
      <c r="C24" s="9" t="n">
        <v>2</v>
      </c>
      <c r="D24" s="9" t="n">
        <v>0</v>
      </c>
      <c r="E24" s="9" t="n">
        <v>8</v>
      </c>
      <c r="F24" s="9">
        <f>IFERROR(MIN(C24,D24)*E24/C24,0)</f>
        <v/>
      </c>
      <c r="G24" s="9" t="n"/>
    </row>
    <row r="25" ht="14.15" customHeight="1">
      <c r="A25" s="14" t="n">
        <v>10</v>
      </c>
      <c r="B25" s="8" t="inlineStr">
        <is>
          <t>Fabric Inspection Machine</t>
        </is>
      </c>
      <c r="C25" s="9" t="n">
        <v>1</v>
      </c>
      <c r="D25" s="9" t="n">
        <v>0</v>
      </c>
      <c r="E25" s="9" t="n">
        <v>9</v>
      </c>
      <c r="F25" s="9">
        <f>IFERROR(MIN(C25,D25)*E25/C25,0)</f>
        <v/>
      </c>
      <c r="G25" s="9" t="n"/>
    </row>
    <row r="26" ht="14.15" customHeight="1">
      <c r="A26" s="14" t="n">
        <v>11</v>
      </c>
      <c r="B26" s="8" t="inlineStr">
        <is>
          <t>Tensile testers for fabric strength testing</t>
        </is>
      </c>
      <c r="C26" s="9" t="n">
        <v>1</v>
      </c>
      <c r="D26" s="9" t="n">
        <v>0</v>
      </c>
      <c r="E26" s="9" t="n">
        <v>8</v>
      </c>
      <c r="F26" s="9">
        <f>IFERROR(MIN(C26,D26)*E26/C26,0)</f>
        <v/>
      </c>
      <c r="G26" s="9" t="n"/>
    </row>
    <row r="27" ht="14.15" customHeight="1">
      <c r="A27" s="14" t="n">
        <v>12</v>
      </c>
      <c r="B27" s="8" t="inlineStr">
        <is>
          <t>Pilling testers for fabric surface quality evaluation</t>
        </is>
      </c>
      <c r="C27" s="9" t="n">
        <v>1</v>
      </c>
      <c r="D27" s="9" t="n">
        <v>0</v>
      </c>
      <c r="E27" s="9" t="n">
        <v>7</v>
      </c>
      <c r="F27" s="9">
        <f>IFERROR(MIN(C27,D27)*E27/C27,0)</f>
        <v/>
      </c>
      <c r="G27" s="9" t="n"/>
    </row>
    <row r="28" ht="14.15" customHeight="1">
      <c r="A28" s="14" t="n">
        <v>13</v>
      </c>
      <c r="B28" s="8" t="inlineStr">
        <is>
          <t>Abrasion testers for wear and tear simulation</t>
        </is>
      </c>
      <c r="C28" s="9" t="n">
        <v>1</v>
      </c>
      <c r="D28" s="9" t="n">
        <v>0</v>
      </c>
      <c r="E28" s="9" t="n">
        <v>7</v>
      </c>
      <c r="F28" s="9">
        <f>IFERROR(MIN(C28,D28)*E28/C28,0)</f>
        <v/>
      </c>
      <c r="G28" s="9" t="n"/>
    </row>
    <row r="29" ht="14.15" customHeight="1">
      <c r="A29" s="14" t="n">
        <v>14</v>
      </c>
      <c r="B29" s="8" t="inlineStr">
        <is>
          <t>Colour fastness testers for colour durability assessment</t>
        </is>
      </c>
      <c r="C29" s="9" t="n">
        <v>1</v>
      </c>
      <c r="D29" s="9" t="n">
        <v>0</v>
      </c>
      <c r="E29" s="9" t="n">
        <v>7</v>
      </c>
      <c r="F29" s="9">
        <f>IFERROR(MIN(C29,D29)*E29/C29,0)</f>
        <v/>
      </c>
      <c r="G29" s="9" t="n"/>
    </row>
    <row r="30" ht="14.15" customHeight="1">
      <c r="A30" s="14" t="n">
        <v>15</v>
      </c>
      <c r="B30" s="8" t="inlineStr">
        <is>
          <t>Gray scale</t>
        </is>
      </c>
      <c r="C30" s="9" t="n">
        <v>6</v>
      </c>
      <c r="D30" s="9" t="n">
        <v>0</v>
      </c>
      <c r="E30" s="9" t="n">
        <v>4</v>
      </c>
      <c r="F30" s="9">
        <f>IFERROR(MIN(C30,D30)*E30/C30,0)</f>
        <v/>
      </c>
      <c r="G30" s="9" t="n"/>
    </row>
    <row r="31" ht="14.15" customHeight="1">
      <c r="A31" s="14" t="n">
        <v>16</v>
      </c>
      <c r="B31" s="8" t="inlineStr">
        <is>
          <t>Measurement tape</t>
        </is>
      </c>
      <c r="C31" s="9" t="n">
        <v>26</v>
      </c>
      <c r="D31" s="9" t="n">
        <v>0</v>
      </c>
      <c r="E31" s="9" t="n">
        <v>3</v>
      </c>
      <c r="F31" s="9">
        <f>IFERROR(MIN(C31,D31)*E31/C31,0)</f>
        <v/>
      </c>
      <c r="G31" s="9" t="n"/>
    </row>
    <row r="32" ht="14.15" customHeight="1">
      <c r="A32" s="14" t="n">
        <v>17</v>
      </c>
      <c r="B32" s="8" t="inlineStr">
        <is>
          <t>Light Box</t>
        </is>
      </c>
      <c r="C32" s="9" t="n">
        <v>1</v>
      </c>
      <c r="D32" s="9" t="n">
        <v>0</v>
      </c>
      <c r="E32" s="9" t="n">
        <v>5</v>
      </c>
      <c r="F32" s="9">
        <f>IFERROR(MIN(C32,D32)*E32/C32,0)</f>
        <v/>
      </c>
      <c r="G32" s="9" t="n"/>
    </row>
    <row r="33" ht="14.15" customHeight="1">
      <c r="A33" s="14" t="n">
        <v>18</v>
      </c>
      <c r="B33" s="8" t="inlineStr">
        <is>
          <t>GSM Cutter</t>
        </is>
      </c>
      <c r="C33" s="9" t="n">
        <v>2</v>
      </c>
      <c r="D33" s="9" t="n">
        <v>0</v>
      </c>
      <c r="E33" s="9" t="n">
        <v>5</v>
      </c>
      <c r="F33" s="9">
        <f>IFERROR(MIN(C33,D33)*E33/C33,0)</f>
        <v/>
      </c>
      <c r="G33" s="9" t="n"/>
    </row>
    <row r="34" ht="14.15" customHeight="1">
      <c r="A34" s="14" t="n">
        <v>19</v>
      </c>
      <c r="B34" s="8" t="inlineStr">
        <is>
          <t>Button Pull Test Machine</t>
        </is>
      </c>
      <c r="C34" s="9" t="n">
        <v>1</v>
      </c>
      <c r="D34" s="9" t="n">
        <v>0</v>
      </c>
      <c r="E34" s="9" t="n">
        <v>6</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Refrigeration and Air Conditioning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Refrigeration and Air Conditioning</t>
        </is>
      </c>
      <c r="C8" s="4" t="inlineStr">
        <is>
          <t>Classroom		: 350 sft 
Workshop/Lab	: 800-1000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Refrigeration and Air Conditioning,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Split Type AC (1 Inverter type and 4 non-inverter type)</t>
        </is>
      </c>
      <c r="C16" s="9" t="n">
        <v>5</v>
      </c>
      <c r="D16" s="9" t="n">
        <v>0</v>
      </c>
      <c r="E16" s="9" t="n">
        <v>9</v>
      </c>
      <c r="F16" s="9">
        <f>IFERROR(MIN(C16,D16)*E16/C16,0)</f>
        <v/>
      </c>
      <c r="G16" s="9" t="n"/>
    </row>
    <row r="17" ht="14.15" customHeight="1">
      <c r="A17" s="14" t="n">
        <v>2</v>
      </c>
      <c r="B17" s="8" t="inlineStr">
        <is>
          <t>Window Type AC</t>
        </is>
      </c>
      <c r="C17" s="9" t="n">
        <v>2</v>
      </c>
      <c r="D17" s="9" t="n">
        <v>0</v>
      </c>
      <c r="E17" s="9" t="n">
        <v>7</v>
      </c>
      <c r="F17" s="9">
        <f>IFERROR(MIN(C17,D17)*E17/C17,0)</f>
        <v/>
      </c>
      <c r="G17" s="9" t="n"/>
    </row>
    <row r="18" ht="14.15" customHeight="1">
      <c r="A18" s="14" t="n">
        <v>3</v>
      </c>
      <c r="B18" s="8" t="inlineStr">
        <is>
          <t>Cassette Type AC</t>
        </is>
      </c>
      <c r="C18" s="9" t="n">
        <v>1</v>
      </c>
      <c r="D18" s="9" t="n">
        <v>0</v>
      </c>
      <c r="E18" s="9" t="n">
        <v>7</v>
      </c>
      <c r="F18" s="9">
        <f>IFERROR(MIN(C18,D18)*E18/C18,0)</f>
        <v/>
      </c>
      <c r="G18" s="9" t="n"/>
    </row>
    <row r="19" ht="14.15" customHeight="1">
      <c r="A19" s="14" t="n">
        <v>4</v>
      </c>
      <c r="B19" s="8" t="inlineStr">
        <is>
          <t>Vacuum Pumps</t>
        </is>
      </c>
      <c r="C19" s="9" t="n">
        <v>5</v>
      </c>
      <c r="D19" s="9" t="n">
        <v>0</v>
      </c>
      <c r="E19" s="9" t="n">
        <v>8</v>
      </c>
      <c r="F19" s="9">
        <f>IFERROR(MIN(C19,D19)*E19/C19,0)</f>
        <v/>
      </c>
      <c r="G19" s="9" t="n"/>
    </row>
    <row r="20" ht="14.15" customHeight="1">
      <c r="A20" s="14" t="n">
        <v>5</v>
      </c>
      <c r="B20" s="8" t="inlineStr">
        <is>
          <t>Swaging Tools set</t>
        </is>
      </c>
      <c r="C20" s="9" t="n">
        <v>5</v>
      </c>
      <c r="D20" s="9" t="n">
        <v>0</v>
      </c>
      <c r="E20" s="9" t="n">
        <v>6</v>
      </c>
      <c r="F20" s="9">
        <f>IFERROR(MIN(C20,D20)*E20/C20,0)</f>
        <v/>
      </c>
      <c r="G20" s="9" t="n"/>
    </row>
    <row r="21" ht="14.15" customHeight="1">
      <c r="A21" s="14" t="n">
        <v>6</v>
      </c>
      <c r="B21" s="8" t="inlineStr">
        <is>
          <t>Refrigeration Model</t>
        </is>
      </c>
      <c r="C21" s="9" t="n">
        <v>2</v>
      </c>
      <c r="D21" s="9" t="n">
        <v>0</v>
      </c>
      <c r="E21" s="9" t="n">
        <v>6</v>
      </c>
      <c r="F21" s="9">
        <f>IFERROR(MIN(C21,D21)*E21/C21,0)</f>
        <v/>
      </c>
      <c r="G21" s="9" t="n"/>
    </row>
    <row r="22" ht="14.15" customHeight="1">
      <c r="A22" s="14" t="n">
        <v>7</v>
      </c>
      <c r="B22" s="8" t="inlineStr">
        <is>
          <t>Flaring Tools set</t>
        </is>
      </c>
      <c r="C22" s="9" t="n">
        <v>5</v>
      </c>
      <c r="D22" s="9" t="n">
        <v>0</v>
      </c>
      <c r="E22" s="9" t="n">
        <v>6</v>
      </c>
      <c r="F22" s="9">
        <f>IFERROR(MIN(C22,D22)*E22/C22,0)</f>
        <v/>
      </c>
      <c r="G22" s="9" t="n"/>
    </row>
    <row r="23" ht="14.15" customHeight="1">
      <c r="A23" s="14" t="n">
        <v>8</v>
      </c>
      <c r="B23" s="8" t="inlineStr">
        <is>
          <t>Gas welding Set and its accessories (Cylinder with O2 and acetylene gas)</t>
        </is>
      </c>
      <c r="C23" s="9" t="n">
        <v>1</v>
      </c>
      <c r="D23" s="9" t="n">
        <v>0</v>
      </c>
      <c r="E23" s="9" t="n">
        <v>7</v>
      </c>
      <c r="F23" s="9">
        <f>IFERROR(MIN(C23,D23)*E23/C23,0)</f>
        <v/>
      </c>
      <c r="G23" s="9" t="n"/>
    </row>
    <row r="24" ht="14.15" customHeight="1">
      <c r="A24" s="14" t="n">
        <v>9</v>
      </c>
      <c r="B24" s="8" t="inlineStr">
        <is>
          <t>Working Table</t>
        </is>
      </c>
      <c r="C24" s="9" t="n">
        <v>5</v>
      </c>
      <c r="D24" s="9" t="n">
        <v>0</v>
      </c>
      <c r="E24" s="9" t="n">
        <v>4</v>
      </c>
      <c r="F24" s="9">
        <f>IFERROR(MIN(C24,D24)*E24/C24,0)</f>
        <v/>
      </c>
      <c r="G24" s="9" t="n"/>
    </row>
    <row r="25" ht="14.15" customHeight="1">
      <c r="A25" s="14" t="n">
        <v>10</v>
      </c>
      <c r="B25" s="8" t="inlineStr">
        <is>
          <t>Leak detectors</t>
        </is>
      </c>
      <c r="C25" s="9" t="n">
        <v>2</v>
      </c>
      <c r="D25" s="9" t="n">
        <v>0</v>
      </c>
      <c r="E25" s="9" t="n">
        <v>7</v>
      </c>
      <c r="F25" s="9">
        <f>IFERROR(MIN(C25,D25)*E25/C25,0)</f>
        <v/>
      </c>
      <c r="G25" s="9" t="n"/>
    </row>
    <row r="26" ht="14.15" customHeight="1">
      <c r="A26" s="14" t="n">
        <v>11</v>
      </c>
      <c r="B26" s="8" t="inlineStr">
        <is>
          <t>Freeze (Frost)</t>
        </is>
      </c>
      <c r="C26" s="9" t="n">
        <v>5</v>
      </c>
      <c r="D26" s="9" t="n">
        <v>0</v>
      </c>
      <c r="E26" s="9" t="n">
        <v>6</v>
      </c>
      <c r="F26" s="9">
        <f>IFERROR(MIN(C26,D26)*E26/C26,0)</f>
        <v/>
      </c>
      <c r="G26" s="9" t="n"/>
    </row>
    <row r="27" ht="14.15" customHeight="1">
      <c r="A27" s="14" t="n">
        <v>12</v>
      </c>
      <c r="B27" s="8" t="inlineStr">
        <is>
          <t>Freeze (Non-Frost)</t>
        </is>
      </c>
      <c r="C27" s="9" t="n">
        <v>2</v>
      </c>
      <c r="D27" s="9" t="n">
        <v>0</v>
      </c>
      <c r="E27" s="9" t="n">
        <v>6</v>
      </c>
      <c r="F27" s="9">
        <f>IFERROR(MIN(C27,D27)*E27/C27,0)</f>
        <v/>
      </c>
      <c r="G27" s="9" t="n"/>
    </row>
    <row r="28" ht="14.15" customHeight="1">
      <c r="A28" s="14" t="n">
        <v>13</v>
      </c>
      <c r="B28" s="8" t="inlineStr">
        <is>
          <t>Hand Grinder</t>
        </is>
      </c>
      <c r="C28" s="9" t="n">
        <v>2</v>
      </c>
      <c r="D28" s="9" t="n">
        <v>0</v>
      </c>
      <c r="E28" s="9" t="n">
        <v>4</v>
      </c>
      <c r="F28" s="9">
        <f>IFERROR(MIN(C28,D28)*E28/C28,0)</f>
        <v/>
      </c>
      <c r="G28" s="9" t="n"/>
    </row>
    <row r="29" ht="14.15" customHeight="1">
      <c r="A29" s="14" t="n">
        <v>14</v>
      </c>
      <c r="B29" s="8" t="inlineStr">
        <is>
          <t>Cylinder with Nitrogen gas</t>
        </is>
      </c>
      <c r="C29" s="9" t="n">
        <v>2</v>
      </c>
      <c r="D29" s="9" t="n">
        <v>0</v>
      </c>
      <c r="E29" s="9" t="n">
        <v>5</v>
      </c>
      <c r="F29" s="9">
        <f>IFERROR(MIN(C29,D29)*E29/C29,0)</f>
        <v/>
      </c>
      <c r="G29" s="9" t="n"/>
    </row>
    <row r="30" ht="14.15" customHeight="1">
      <c r="A30" s="14" t="n">
        <v>15</v>
      </c>
      <c r="B30" s="8" t="inlineStr">
        <is>
          <t>Electric Hand Drill Machine</t>
        </is>
      </c>
      <c r="C30" s="9" t="n">
        <v>2</v>
      </c>
      <c r="D30" s="9" t="n">
        <v>0</v>
      </c>
      <c r="E30" s="9" t="n">
        <v>4</v>
      </c>
      <c r="F30" s="9">
        <f>IFERROR(MIN(C30,D30)*E30/C30,0)</f>
        <v/>
      </c>
      <c r="G30" s="9" t="n"/>
    </row>
    <row r="31" ht="14.15" customHeight="1">
      <c r="A31" s="14" t="n">
        <v>16</v>
      </c>
      <c r="B31" s="8" t="inlineStr">
        <is>
          <t>Hammer Drill Machine</t>
        </is>
      </c>
      <c r="C31" s="9" t="n">
        <v>2</v>
      </c>
      <c r="D31" s="9" t="n">
        <v>0</v>
      </c>
      <c r="E31" s="9" t="n">
        <v>4</v>
      </c>
      <c r="F31" s="9">
        <f>IFERROR(MIN(C31,D31)*E31/C31,0)</f>
        <v/>
      </c>
      <c r="G31" s="9" t="n"/>
    </row>
    <row r="32" ht="14.15" customHeight="1">
      <c r="A32" s="14" t="n">
        <v>17</v>
      </c>
      <c r="B32" s="8" t="inlineStr">
        <is>
          <t>Refrigerant Recovery Machine</t>
        </is>
      </c>
      <c r="C32" s="9" t="n">
        <v>2</v>
      </c>
      <c r="D32" s="9" t="n">
        <v>0</v>
      </c>
      <c r="E32" s="9" t="n">
        <v>8</v>
      </c>
      <c r="F32" s="9">
        <f>IFERROR(MIN(C32,D32)*E32/C32,0)</f>
        <v/>
      </c>
      <c r="G32" s="9" t="n"/>
    </row>
    <row r="33" ht="14.15" customHeight="1">
      <c r="A33" s="14" t="n">
        <v>18</v>
      </c>
      <c r="B33" s="8" t="inlineStr">
        <is>
          <t>Refrigerant Recovery Cylinder</t>
        </is>
      </c>
      <c r="C33" s="9" t="n">
        <v>2</v>
      </c>
      <c r="D33" s="9" t="n">
        <v>0</v>
      </c>
      <c r="E33" s="9" t="n">
        <v>5</v>
      </c>
      <c r="F33" s="9">
        <f>IFERROR(MIN(C33,D33)*E33/C33,0)</f>
        <v/>
      </c>
      <c r="G33" s="9" t="n"/>
    </row>
    <row r="34">
      <c r="A34" s="15" t="inlineStr">
        <is>
          <t>Sum</t>
        </is>
      </c>
      <c r="B34" s="11" t="n"/>
      <c r="C34" s="11" t="n"/>
      <c r="D34" s="12" t="n"/>
      <c r="E34" s="15">
        <f>SUM(E16:E33)</f>
        <v/>
      </c>
      <c r="F34" s="15">
        <f>SUM(F16:F33)</f>
        <v/>
      </c>
      <c r="G34" s="13" t="n"/>
    </row>
    <row r="35">
      <c r="A35" s="15" t="inlineStr">
        <is>
          <t>Score out of 100</t>
        </is>
      </c>
      <c r="B35" s="11" t="n"/>
      <c r="C35" s="11" t="n"/>
      <c r="D35" s="11" t="n"/>
      <c r="E35" s="12" t="n"/>
      <c r="F35" s="15">
        <f>F34/E34*100</f>
        <v/>
      </c>
      <c r="G35" s="13" t="n"/>
    </row>
    <row r="36" ht="9.75" customHeight="1"/>
    <row r="37">
      <c r="A37" s="15" t="inlineStr">
        <is>
          <t xml:space="preserve">Total achieved points out of 30  </t>
        </is>
      </c>
      <c r="B37" s="11" t="n"/>
      <c r="C37" s="11" t="n"/>
      <c r="D37" s="11" t="n"/>
      <c r="E37" s="12" t="n"/>
      <c r="F37" s="15">
        <f>F35*30/100</f>
        <v/>
      </c>
      <c r="G37" s="15"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Scaffolding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Scaffolding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Scaffolding,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MS pipe (pipe range 1.5” to 2.5” dia), 10’ each</t>
        </is>
      </c>
      <c r="C19" s="9" t="n">
        <v>112</v>
      </c>
      <c r="D19" s="9" t="n">
        <v>0</v>
      </c>
      <c r="E19" s="9" t="n">
        <v>9</v>
      </c>
      <c r="F19" s="9">
        <f>IFERROR(MIN(C19,D19)*E19/C19,0)</f>
        <v/>
      </c>
      <c r="G19" s="9" t="n"/>
    </row>
    <row r="20" ht="14.15" customHeight="1">
      <c r="A20" s="14" t="n">
        <v>5</v>
      </c>
      <c r="B20" s="8" t="inlineStr">
        <is>
          <t>Working platform (aluminum/toe board), range of length 5’, width 2’</t>
        </is>
      </c>
      <c r="C20" s="9" t="n">
        <v>8</v>
      </c>
      <c r="D20" s="9" t="n">
        <v>0</v>
      </c>
      <c r="E20" s="9" t="n">
        <v>8</v>
      </c>
      <c r="F20" s="9">
        <f>IFERROR(MIN(C20,D20)*E20/C20,0)</f>
        <v/>
      </c>
      <c r="G20" s="9" t="n"/>
    </row>
    <row r="21" ht="14.15" customHeight="1">
      <c r="A21" s="14" t="n">
        <v>6</v>
      </c>
      <c r="B21" s="8" t="inlineStr">
        <is>
          <t>Sole board (300 mm x 300 mm) thickness – 38 mm</t>
        </is>
      </c>
      <c r="C21" s="9" t="n">
        <v>16</v>
      </c>
      <c r="D21" s="9" t="n">
        <v>0</v>
      </c>
      <c r="E21" s="9" t="n">
        <v>7</v>
      </c>
      <c r="F21" s="9">
        <f>IFERROR(MIN(C21,D21)*E21/C21,0)</f>
        <v/>
      </c>
      <c r="G21" s="9" t="n"/>
    </row>
    <row r="22" ht="14.15" customHeight="1">
      <c r="A22" s="14" t="n">
        <v>7</v>
      </c>
      <c r="B22" s="8" t="inlineStr">
        <is>
          <t>Base plate</t>
        </is>
      </c>
      <c r="C22" s="9" t="n">
        <v>16</v>
      </c>
      <c r="D22" s="9" t="n">
        <v>0</v>
      </c>
      <c r="E22" s="9" t="n">
        <v>7</v>
      </c>
      <c r="F22" s="9">
        <f>IFERROR(MIN(C22,D22)*E22/C22,0)</f>
        <v/>
      </c>
      <c r="G22" s="9" t="n"/>
    </row>
    <row r="23" ht="14.15" customHeight="1">
      <c r="A23" s="14" t="n">
        <v>8</v>
      </c>
      <c r="B23" s="8" t="inlineStr">
        <is>
          <t>Grinding machine</t>
        </is>
      </c>
      <c r="C23" s="9" t="n">
        <v>2</v>
      </c>
      <c r="D23" s="9" t="n">
        <v>0</v>
      </c>
      <c r="E23" s="9" t="n">
        <v>6</v>
      </c>
      <c r="F23" s="9">
        <f>IFERROR(MIN(C23,D23)*E23/C23,0)</f>
        <v/>
      </c>
      <c r="G23" s="9" t="n"/>
    </row>
    <row r="24" ht="14.15" customHeight="1">
      <c r="A24" s="14" t="n">
        <v>9</v>
      </c>
      <c r="B24" s="8" t="inlineStr">
        <is>
          <t>Rachet spanner</t>
        </is>
      </c>
      <c r="C24" s="9" t="n">
        <v>25</v>
      </c>
      <c r="D24" s="9" t="n">
        <v>0</v>
      </c>
      <c r="E24" s="9" t="n">
        <v>4</v>
      </c>
      <c r="F24" s="9">
        <f>IFERROR(MIN(C24,D24)*E24/C24,0)</f>
        <v/>
      </c>
      <c r="G24" s="9" t="n"/>
    </row>
    <row r="25" ht="14.15" customHeight="1">
      <c r="A25" s="14" t="n">
        <v>10</v>
      </c>
      <c r="B25" s="8" t="inlineStr">
        <is>
          <t>Ball pin hammer</t>
        </is>
      </c>
      <c r="C25" s="9" t="n">
        <v>25</v>
      </c>
      <c r="D25" s="9" t="n">
        <v>0</v>
      </c>
      <c r="E25" s="9" t="n">
        <v>4</v>
      </c>
      <c r="F25" s="9">
        <f>IFERROR(MIN(C25,D25)*E25/C25,0)</f>
        <v/>
      </c>
      <c r="G25" s="9" t="n"/>
    </row>
    <row r="26" ht="14.15" customHeight="1">
      <c r="A26" s="14" t="n">
        <v>11</v>
      </c>
      <c r="B26" s="8" t="inlineStr">
        <is>
          <t>Magnetic spirit level</t>
        </is>
      </c>
      <c r="C26" s="9" t="n">
        <v>25</v>
      </c>
      <c r="D26" s="9" t="n">
        <v>0</v>
      </c>
      <c r="E26" s="9" t="n">
        <v>4</v>
      </c>
      <c r="F26" s="9">
        <f>IFERROR(MIN(C26,D26)*E26/C26,0)</f>
        <v/>
      </c>
      <c r="G26" s="9" t="n"/>
    </row>
    <row r="27" ht="14.15" customHeight="1">
      <c r="A27" s="14" t="n">
        <v>12</v>
      </c>
      <c r="B27" s="8" t="inlineStr">
        <is>
          <t>Measuring tape (steel)</t>
        </is>
      </c>
      <c r="C27" s="9" t="n">
        <v>25</v>
      </c>
      <c r="D27" s="9" t="n">
        <v>0</v>
      </c>
      <c r="E27" s="9" t="n">
        <v>3</v>
      </c>
      <c r="F27" s="9">
        <f>IFERROR(MIN(C27,D27)*E27/C27,0)</f>
        <v/>
      </c>
      <c r="G27" s="9" t="n"/>
    </row>
    <row r="28" ht="14.15" customHeight="1">
      <c r="A28" s="14" t="n">
        <v>13</v>
      </c>
      <c r="B28" s="8" t="inlineStr">
        <is>
          <t>Adjustable wrench</t>
        </is>
      </c>
      <c r="C28" s="9" t="n">
        <v>4</v>
      </c>
      <c r="D28" s="9" t="n">
        <v>0</v>
      </c>
      <c r="E28" s="9" t="n">
        <v>4</v>
      </c>
      <c r="F28" s="9">
        <f>IFERROR(MIN(C28,D28)*E28/C28,0)</f>
        <v/>
      </c>
      <c r="G28" s="9" t="n"/>
    </row>
    <row r="29">
      <c r="A29" s="15" t="inlineStr">
        <is>
          <t>Sum</t>
        </is>
      </c>
      <c r="B29" s="11" t="n"/>
      <c r="C29" s="11" t="n"/>
      <c r="D29" s="12" t="n"/>
      <c r="E29" s="15">
        <f>SUM(E16:E28)</f>
        <v/>
      </c>
      <c r="F29" s="15">
        <f>SUM(F16:F28)</f>
        <v/>
      </c>
      <c r="G29" s="13" t="n"/>
    </row>
    <row r="30">
      <c r="A30" s="15" t="inlineStr">
        <is>
          <t>Score out of 100</t>
        </is>
      </c>
      <c r="B30" s="11" t="n"/>
      <c r="C30" s="11" t="n"/>
      <c r="D30" s="11" t="n"/>
      <c r="E30" s="12" t="n"/>
      <c r="F30" s="15">
        <f>F29/E29*100</f>
        <v/>
      </c>
      <c r="G30" s="13" t="n"/>
    </row>
    <row r="31" ht="9.75" customHeight="1"/>
    <row r="32">
      <c r="A32" s="15" t="inlineStr">
        <is>
          <t xml:space="preserve">Total achieved points out of 30  </t>
        </is>
      </c>
      <c r="B32" s="11" t="n"/>
      <c r="C32" s="11" t="n"/>
      <c r="D32" s="11" t="n"/>
      <c r="E32" s="12" t="n"/>
      <c r="F32" s="15">
        <f>F30*30/100</f>
        <v/>
      </c>
      <c r="G32" s="15"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Ship Piping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Ship Piping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Ship Piping,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Arc Welding Machine</t>
        </is>
      </c>
      <c r="C16" s="9" t="n">
        <v>5</v>
      </c>
      <c r="D16" s="9" t="n">
        <v>0</v>
      </c>
      <c r="E16" s="9" t="n">
        <v>9</v>
      </c>
      <c r="F16" s="9">
        <f>IFERROR(MIN(C16,D16)*E16/C16,0)</f>
        <v/>
      </c>
      <c r="G16" s="9" t="n"/>
    </row>
    <row r="17" ht="14.15" customHeight="1">
      <c r="A17" s="14" t="n">
        <v>2</v>
      </c>
      <c r="B17" s="8" t="inlineStr">
        <is>
          <t>Grinding machine</t>
        </is>
      </c>
      <c r="C17" s="9" t="n">
        <v>10</v>
      </c>
      <c r="D17" s="9" t="n">
        <v>0</v>
      </c>
      <c r="E17" s="9" t="n">
        <v>6</v>
      </c>
      <c r="F17" s="9">
        <f>IFERROR(MIN(C17,D17)*E17/C17,0)</f>
        <v/>
      </c>
      <c r="G17" s="9" t="n"/>
    </row>
    <row r="18" ht="14.15" customHeight="1">
      <c r="A18" s="14" t="n">
        <v>3</v>
      </c>
      <c r="B18" s="8" t="inlineStr">
        <is>
          <t>Pipe Bending Machine</t>
        </is>
      </c>
      <c r="C18" s="9" t="n">
        <v>1</v>
      </c>
      <c r="D18" s="9" t="n">
        <v>0</v>
      </c>
      <c r="E18" s="9" t="n">
        <v>8</v>
      </c>
      <c r="F18" s="9">
        <f>IFERROR(MIN(C18,D18)*E18/C18,0)</f>
        <v/>
      </c>
      <c r="G18" s="9" t="n"/>
    </row>
    <row r="19" ht="14.15" customHeight="1">
      <c r="A19" s="14" t="n">
        <v>4</v>
      </c>
      <c r="B19" s="8" t="inlineStr">
        <is>
          <t>Fresh Water Piping System</t>
        </is>
      </c>
      <c r="C19" s="9" t="n">
        <v>1</v>
      </c>
      <c r="D19" s="9" t="n">
        <v>0</v>
      </c>
      <c r="E19" s="9" t="n">
        <v>9</v>
      </c>
      <c r="F19" s="9">
        <f>IFERROR(MIN(C19,D19)*E19/C19,0)</f>
        <v/>
      </c>
      <c r="G19" s="9" t="n"/>
    </row>
    <row r="20" ht="14.15" customHeight="1">
      <c r="A20" s="14" t="n">
        <v>5</v>
      </c>
      <c r="B20" s="8" t="inlineStr">
        <is>
          <t>Sea Water Piping System</t>
        </is>
      </c>
      <c r="C20" s="9" t="n">
        <v>1</v>
      </c>
      <c r="D20" s="9" t="n">
        <v>0</v>
      </c>
      <c r="E20" s="9" t="n">
        <v>9</v>
      </c>
      <c r="F20" s="9">
        <f>IFERROR(MIN(C20,D20)*E20/C20,0)</f>
        <v/>
      </c>
      <c r="G20" s="9" t="n"/>
    </row>
    <row r="21" ht="14.15" customHeight="1">
      <c r="A21" s="14" t="n">
        <v>6</v>
      </c>
      <c r="B21" s="8" t="inlineStr">
        <is>
          <t>Fuel Piping System</t>
        </is>
      </c>
      <c r="C21" s="9" t="n">
        <v>1</v>
      </c>
      <c r="D21" s="9" t="n">
        <v>0</v>
      </c>
      <c r="E21" s="9" t="n">
        <v>9</v>
      </c>
      <c r="F21" s="9">
        <f>IFERROR(MIN(C21,D21)*E21/C21,0)</f>
        <v/>
      </c>
      <c r="G21" s="9" t="n"/>
    </row>
    <row r="22" ht="14.15" customHeight="1">
      <c r="A22" s="14" t="n">
        <v>7</v>
      </c>
      <c r="B22" s="8" t="inlineStr">
        <is>
          <t>Hydraulic Piping System</t>
        </is>
      </c>
      <c r="C22" s="9" t="n">
        <v>1</v>
      </c>
      <c r="D22" s="9" t="n">
        <v>0</v>
      </c>
      <c r="E22" s="9" t="n">
        <v>9</v>
      </c>
      <c r="F22" s="9">
        <f>IFERROR(MIN(C22,D22)*E22/C22,0)</f>
        <v/>
      </c>
      <c r="G22" s="9" t="n"/>
    </row>
    <row r="23" ht="14.15" customHeight="1">
      <c r="A23" s="14" t="n">
        <v>8</v>
      </c>
      <c r="B23" s="8" t="inlineStr">
        <is>
          <t>Valves (gate valve, SDNR valve, check valve, ball valve)</t>
        </is>
      </c>
      <c r="C23" s="9" t="n">
        <v>5</v>
      </c>
      <c r="D23" s="9" t="n">
        <v>0</v>
      </c>
      <c r="E23" s="9" t="n">
        <v>7</v>
      </c>
      <c r="F23" s="9">
        <f>IFERROR(MIN(C23,D23)*E23/C23,0)</f>
        <v/>
      </c>
      <c r="G23" s="9" t="inlineStr">
        <is>
          <t>05 sets each</t>
        </is>
      </c>
    </row>
    <row r="24" ht="14.15" customHeight="1">
      <c r="A24" s="14" t="n">
        <v>9</v>
      </c>
      <c r="B24" s="8" t="inlineStr">
        <is>
          <t>Minimum fittings (union, tee, socket, elbow, nipple)</t>
        </is>
      </c>
      <c r="C24" s="9" t="n">
        <v>5</v>
      </c>
      <c r="D24" s="9" t="n">
        <v>0</v>
      </c>
      <c r="E24" s="9" t="n">
        <v>4</v>
      </c>
      <c r="F24" s="9">
        <f>IFERROR(MIN(C24,D24)*E24/C24,0)</f>
        <v/>
      </c>
      <c r="G24" s="9" t="inlineStr">
        <is>
          <t>05 sets each</t>
        </is>
      </c>
    </row>
    <row r="25" ht="14.15" customHeight="1">
      <c r="A25" s="14" t="n">
        <v>10</v>
      </c>
      <c r="B25" s="8" t="inlineStr">
        <is>
          <t>Pumps (centrifugal, gear)</t>
        </is>
      </c>
      <c r="C25" s="9" t="n">
        <v>5</v>
      </c>
      <c r="D25" s="9" t="n">
        <v>0</v>
      </c>
      <c r="E25" s="9" t="n">
        <v>8</v>
      </c>
      <c r="F25" s="9">
        <f>IFERROR(MIN(C25,D25)*E25/C25,0)</f>
        <v/>
      </c>
      <c r="G25" s="9" t="inlineStr">
        <is>
          <t>05 sets each</t>
        </is>
      </c>
    </row>
    <row r="26" ht="14.15" customHeight="1">
      <c r="A26" s="14" t="n">
        <v>11</v>
      </c>
      <c r="B26" s="8" t="inlineStr">
        <is>
          <t>Tool box</t>
        </is>
      </c>
      <c r="C26" s="9" t="n">
        <v>5</v>
      </c>
      <c r="D26" s="9" t="n">
        <v>0</v>
      </c>
      <c r="E26" s="9" t="n">
        <v>3</v>
      </c>
      <c r="F26" s="9">
        <f>IFERROR(MIN(C26,D26)*E26/C26,0)</f>
        <v/>
      </c>
      <c r="G26" s="9" t="inlineStr">
        <is>
          <t>05 sets</t>
        </is>
      </c>
    </row>
    <row r="27">
      <c r="A27" s="15" t="inlineStr">
        <is>
          <t>Sum</t>
        </is>
      </c>
      <c r="B27" s="11" t="n"/>
      <c r="C27" s="11" t="n"/>
      <c r="D27" s="12" t="n"/>
      <c r="E27" s="15">
        <f>SUM(E16:E26)</f>
        <v/>
      </c>
      <c r="F27" s="15">
        <f>SUM(F16:F26)</f>
        <v/>
      </c>
      <c r="G27" s="13" t="n"/>
    </row>
    <row r="28">
      <c r="A28" s="15" t="inlineStr">
        <is>
          <t>Score out of 100</t>
        </is>
      </c>
      <c r="B28" s="11" t="n"/>
      <c r="C28" s="11" t="n"/>
      <c r="D28" s="11" t="n"/>
      <c r="E28" s="12" t="n"/>
      <c r="F28" s="15">
        <f>F27/E27*100</f>
        <v/>
      </c>
      <c r="G28" s="13" t="n"/>
    </row>
    <row r="29" ht="9.75" customHeight="1"/>
    <row r="30">
      <c r="A30" s="15" t="inlineStr">
        <is>
          <t xml:space="preserve">Total achieved points out of 30  </t>
        </is>
      </c>
      <c r="B30" s="11" t="n"/>
      <c r="C30" s="11" t="n"/>
      <c r="D30" s="11" t="n"/>
      <c r="E30" s="12" t="n"/>
      <c r="F30" s="15">
        <f>F28*30/100</f>
        <v/>
      </c>
      <c r="G30" s="15"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Ship Safety and Firefighting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Ship Safety and Firefighting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Ship Safety and Firefighting,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Portable Fire extinguishers (Water Type)</t>
        </is>
      </c>
      <c r="C16" s="9" t="n">
        <v>5</v>
      </c>
      <c r="D16" s="9" t="n">
        <v>0</v>
      </c>
      <c r="E16" s="9" t="n">
        <v>8</v>
      </c>
      <c r="F16" s="9">
        <f>IFERROR(MIN(C16,D16)*E16/C16,0)</f>
        <v/>
      </c>
      <c r="G16" s="9" t="inlineStr">
        <is>
          <t>05 pcs</t>
        </is>
      </c>
    </row>
    <row r="17" ht="14.15" customHeight="1">
      <c r="A17" s="14" t="n">
        <v>2</v>
      </c>
      <c r="B17" s="8" t="inlineStr">
        <is>
          <t>Portable Fire extinguishers (Dry Powder)</t>
        </is>
      </c>
      <c r="C17" s="9" t="n">
        <v>5</v>
      </c>
      <c r="D17" s="9" t="n">
        <v>0</v>
      </c>
      <c r="E17" s="9" t="n">
        <v>8</v>
      </c>
      <c r="F17" s="9">
        <f>IFERROR(MIN(C17,D17)*E17/C17,0)</f>
        <v/>
      </c>
      <c r="G17" s="9" t="inlineStr">
        <is>
          <t>05 pcs</t>
        </is>
      </c>
    </row>
    <row r="18" ht="14.15" customHeight="1">
      <c r="A18" s="14" t="n">
        <v>3</v>
      </c>
      <c r="B18" s="8" t="inlineStr">
        <is>
          <t>Portable Fire extinguishers (Foam Type)</t>
        </is>
      </c>
      <c r="C18" s="9" t="n">
        <v>5</v>
      </c>
      <c r="D18" s="9" t="n">
        <v>0</v>
      </c>
      <c r="E18" s="9" t="n">
        <v>8</v>
      </c>
      <c r="F18" s="9">
        <f>IFERROR(MIN(C18,D18)*E18/C18,0)</f>
        <v/>
      </c>
      <c r="G18" s="9" t="inlineStr">
        <is>
          <t>05 pcs</t>
        </is>
      </c>
    </row>
    <row r="19" ht="14.15" customHeight="1">
      <c r="A19" s="14" t="n">
        <v>4</v>
      </c>
      <c r="B19" s="8" t="inlineStr">
        <is>
          <t>Portable Fire extinguishers (CO2)</t>
        </is>
      </c>
      <c r="C19" s="9" t="n">
        <v>5</v>
      </c>
      <c r="D19" s="9" t="n">
        <v>0</v>
      </c>
      <c r="E19" s="9" t="n">
        <v>8</v>
      </c>
      <c r="F19" s="9">
        <f>IFERROR(MIN(C19,D19)*E19/C19,0)</f>
        <v/>
      </c>
      <c r="G19" s="9" t="inlineStr">
        <is>
          <t>05 pcs</t>
        </is>
      </c>
    </row>
    <row r="20" ht="14.15" customHeight="1">
      <c r="A20" s="14" t="n">
        <v>5</v>
      </c>
      <c r="B20" s="8" t="inlineStr">
        <is>
          <t>Fixed Fire extinguishers System (Sprinkler System)</t>
        </is>
      </c>
      <c r="C20" s="9" t="n">
        <v>1</v>
      </c>
      <c r="D20" s="9" t="n">
        <v>0</v>
      </c>
      <c r="E20" s="9" t="n">
        <v>9</v>
      </c>
      <c r="F20" s="9">
        <f>IFERROR(MIN(C20,D20)*E20/C20,0)</f>
        <v/>
      </c>
      <c r="G20" s="9" t="inlineStr">
        <is>
          <t>01 Set</t>
        </is>
      </c>
    </row>
    <row r="21" ht="14.15" customHeight="1">
      <c r="A21" s="14" t="n">
        <v>6</v>
      </c>
      <c r="B21" s="8" t="inlineStr">
        <is>
          <t>Fixed Fire extinguishers System (CO2)</t>
        </is>
      </c>
      <c r="C21" s="9" t="n">
        <v>2</v>
      </c>
      <c r="D21" s="9" t="n">
        <v>0</v>
      </c>
      <c r="E21" s="9" t="n">
        <v>9</v>
      </c>
      <c r="F21" s="9">
        <f>IFERROR(MIN(C21,D21)*E21/C21,0)</f>
        <v/>
      </c>
      <c r="G21" s="9" t="inlineStr">
        <is>
          <t>02 Set</t>
        </is>
      </c>
    </row>
    <row r="22" ht="14.15" customHeight="1">
      <c r="A22" s="14" t="n">
        <v>7</v>
      </c>
      <c r="B22" s="8" t="inlineStr">
        <is>
          <t>Fire hoses, nozzles, and hydrants</t>
        </is>
      </c>
      <c r="C22" s="9" t="n">
        <v>5</v>
      </c>
      <c r="D22" s="9" t="n">
        <v>0</v>
      </c>
      <c r="E22" s="9" t="n">
        <v>8</v>
      </c>
      <c r="F22" s="9">
        <f>IFERROR(MIN(C22,D22)*E22/C22,0)</f>
        <v/>
      </c>
      <c r="G22" s="9" t="inlineStr">
        <is>
          <t>05 Set</t>
        </is>
      </c>
    </row>
    <row r="23" ht="14.15" customHeight="1">
      <c r="A23" s="14" t="n">
        <v>8</v>
      </c>
      <c r="B23" s="8" t="inlineStr">
        <is>
          <t>Fire blankets</t>
        </is>
      </c>
      <c r="C23" s="9" t="n">
        <v>15</v>
      </c>
      <c r="D23" s="9" t="n">
        <v>0</v>
      </c>
      <c r="E23" s="9" t="n">
        <v>6</v>
      </c>
      <c r="F23" s="9">
        <f>IFERROR(MIN(C23,D23)*E23/C23,0)</f>
        <v/>
      </c>
      <c r="G23" s="9" t="inlineStr">
        <is>
          <t>15 pcs</t>
        </is>
      </c>
    </row>
    <row r="24" ht="14.15" customHeight="1">
      <c r="A24" s="14" t="n">
        <v>9</v>
      </c>
      <c r="B24" s="8" t="inlineStr">
        <is>
          <t>Life jackets</t>
        </is>
      </c>
      <c r="C24" s="9" t="n">
        <v>25</v>
      </c>
      <c r="D24" s="9" t="n">
        <v>0</v>
      </c>
      <c r="E24" s="9" t="n">
        <v>7</v>
      </c>
      <c r="F24" s="9">
        <f>IFERROR(MIN(C24,D24)*E24/C24,0)</f>
        <v/>
      </c>
      <c r="G24" s="9" t="inlineStr">
        <is>
          <t>25 pcs</t>
        </is>
      </c>
    </row>
    <row r="25" ht="14.15" customHeight="1">
      <c r="A25" s="14" t="n">
        <v>10</v>
      </c>
      <c r="B25" s="8" t="inlineStr">
        <is>
          <t>Immersion suits</t>
        </is>
      </c>
      <c r="C25" s="9" t="n">
        <v>2</v>
      </c>
      <c r="D25" s="9" t="n">
        <v>0</v>
      </c>
      <c r="E25" s="9" t="n">
        <v>7</v>
      </c>
      <c r="F25" s="9">
        <f>IFERROR(MIN(C25,D25)*E25/C25,0)</f>
        <v/>
      </c>
      <c r="G25" s="9" t="inlineStr">
        <is>
          <t>02 Set</t>
        </is>
      </c>
    </row>
    <row r="26" ht="14.15" customHeight="1">
      <c r="A26" s="14" t="n">
        <v>11</v>
      </c>
      <c r="B26" s="8" t="inlineStr">
        <is>
          <t>Lifeboats</t>
        </is>
      </c>
      <c r="C26" s="9" t="n">
        <v>1</v>
      </c>
      <c r="D26" s="9" t="n">
        <v>0</v>
      </c>
      <c r="E26" s="9" t="n">
        <v>10</v>
      </c>
      <c r="F26" s="9">
        <f>IFERROR(MIN(C26,D26)*E26/C26,0)</f>
        <v/>
      </c>
      <c r="G26" s="9" t="inlineStr">
        <is>
          <t>01 pcs</t>
        </is>
      </c>
    </row>
    <row r="27" ht="14.15" customHeight="1">
      <c r="A27" s="14" t="n">
        <v>12</v>
      </c>
      <c r="B27" s="8" t="inlineStr">
        <is>
          <t>Life rafts</t>
        </is>
      </c>
      <c r="C27" s="9" t="n">
        <v>1</v>
      </c>
      <c r="D27" s="9" t="n">
        <v>0</v>
      </c>
      <c r="E27" s="9" t="n">
        <v>9</v>
      </c>
      <c r="F27" s="9">
        <f>IFERROR(MIN(C27,D27)*E27/C27,0)</f>
        <v/>
      </c>
      <c r="G27" s="9" t="inlineStr">
        <is>
          <t>01 pcs</t>
        </is>
      </c>
    </row>
    <row r="28" ht="14.15" customHeight="1">
      <c r="A28" s="14" t="n">
        <v>13</v>
      </c>
      <c r="B28" s="8" t="inlineStr">
        <is>
          <t>Emergency signaling devices (Hand flares, Rocket Parachute, Smoke signal, whistles)</t>
        </is>
      </c>
      <c r="C28" s="9" t="n">
        <v>12</v>
      </c>
      <c r="D28" s="9" t="n">
        <v>0</v>
      </c>
      <c r="E28" s="9" t="n">
        <v>6</v>
      </c>
      <c r="F28" s="9">
        <f>IFERROR(MIN(C28,D28)*E28/C28,0)</f>
        <v/>
      </c>
      <c r="G28" s="9" t="inlineStr">
        <is>
          <t>12 Set</t>
        </is>
      </c>
    </row>
    <row r="29" ht="14.15" customHeight="1">
      <c r="A29" s="14" t="n">
        <v>14</v>
      </c>
      <c r="B29" s="8" t="inlineStr">
        <is>
          <t>Lifeboat launching System</t>
        </is>
      </c>
      <c r="C29" s="9" t="n">
        <v>1</v>
      </c>
      <c r="D29" s="9" t="n">
        <v>0</v>
      </c>
      <c r="E29" s="9" t="n">
        <v>9</v>
      </c>
      <c r="F29" s="9">
        <f>IFERROR(MIN(C29,D29)*E29/C29,0)</f>
        <v/>
      </c>
      <c r="G29" s="9" t="inlineStr">
        <is>
          <t>01 Set</t>
        </is>
      </c>
    </row>
    <row r="30" ht="14.15" customHeight="1">
      <c r="A30" s="14" t="n">
        <v>15</v>
      </c>
      <c r="B30" s="8" t="inlineStr">
        <is>
          <t>Life-saving rings and buoys</t>
        </is>
      </c>
      <c r="C30" s="9" t="n">
        <v>10</v>
      </c>
      <c r="D30" s="9" t="n">
        <v>0</v>
      </c>
      <c r="E30" s="9" t="n">
        <v>6</v>
      </c>
      <c r="F30" s="9">
        <f>IFERROR(MIN(C30,D30)*E30/C30,0)</f>
        <v/>
      </c>
      <c r="G30" s="9" t="inlineStr">
        <is>
          <t>10 pcs</t>
        </is>
      </c>
    </row>
    <row r="31" ht="14.15" customHeight="1">
      <c r="A31" s="14" t="n">
        <v>16</v>
      </c>
      <c r="B31" s="8" t="inlineStr">
        <is>
          <t>Fire detection sensors (smoke, heat, flame detectors)</t>
        </is>
      </c>
      <c r="C31" s="9" t="n">
        <v>12</v>
      </c>
      <c r="D31" s="9" t="n">
        <v>0</v>
      </c>
      <c r="E31" s="9" t="n">
        <v>8</v>
      </c>
      <c r="F31" s="9">
        <f>IFERROR(MIN(C31,D31)*E31/C31,0)</f>
        <v/>
      </c>
      <c r="G31" s="9" t="inlineStr">
        <is>
          <t>12 Set</t>
        </is>
      </c>
    </row>
    <row r="32" ht="14.15" customHeight="1">
      <c r="A32" s="14" t="n">
        <v>17</v>
      </c>
      <c r="B32" s="8" t="inlineStr">
        <is>
          <t>Alarm panels</t>
        </is>
      </c>
      <c r="C32" s="9" t="n">
        <v>1</v>
      </c>
      <c r="D32" s="9" t="n">
        <v>0</v>
      </c>
      <c r="E32" s="9" t="n">
        <v>6</v>
      </c>
      <c r="F32" s="9">
        <f>IFERROR(MIN(C32,D32)*E32/C32,0)</f>
        <v/>
      </c>
      <c r="G32" s="9" t="inlineStr">
        <is>
          <t>01 Set</t>
        </is>
      </c>
    </row>
    <row r="33" ht="14.15" customHeight="1">
      <c r="A33" s="14" t="n">
        <v>18</v>
      </c>
      <c r="B33" s="8" t="inlineStr">
        <is>
          <t>Fire alarm system test panels</t>
        </is>
      </c>
      <c r="C33" s="9" t="n">
        <v>1</v>
      </c>
      <c r="D33" s="9" t="n">
        <v>0</v>
      </c>
      <c r="E33" s="9" t="n">
        <v>6</v>
      </c>
      <c r="F33" s="9">
        <f>IFERROR(MIN(C33,D33)*E33/C33,0)</f>
        <v/>
      </c>
      <c r="G33" s="9" t="inlineStr">
        <is>
          <t>01 Set</t>
        </is>
      </c>
    </row>
    <row r="34" ht="14.15" customHeight="1">
      <c r="A34" s="14" t="n">
        <v>19</v>
      </c>
      <c r="B34" s="8" t="inlineStr">
        <is>
          <t>Manual call points</t>
        </is>
      </c>
      <c r="C34" s="9" t="n">
        <v>6</v>
      </c>
      <c r="D34" s="9" t="n">
        <v>0</v>
      </c>
      <c r="E34" s="9" t="n">
        <v>4</v>
      </c>
      <c r="F34" s="9">
        <f>IFERROR(MIN(C34,D34)*E34/C34,0)</f>
        <v/>
      </c>
      <c r="G34" s="9" t="inlineStr">
        <is>
          <t>06 Set</t>
        </is>
      </c>
    </row>
    <row r="35" ht="14.15" customHeight="1">
      <c r="A35" s="14" t="n">
        <v>20</v>
      </c>
      <c r="B35" s="8" t="inlineStr">
        <is>
          <t>Fireman’s outfit</t>
        </is>
      </c>
      <c r="C35" s="9" t="n">
        <v>2</v>
      </c>
      <c r="D35" s="9" t="n">
        <v>0</v>
      </c>
      <c r="E35" s="9" t="n">
        <v>7</v>
      </c>
      <c r="F35" s="9">
        <f>IFERROR(MIN(C35,D35)*E35/C35,0)</f>
        <v/>
      </c>
      <c r="G35" s="9" t="inlineStr">
        <is>
          <t>02Set</t>
        </is>
      </c>
    </row>
    <row r="36" ht="14.15" customHeight="1">
      <c r="A36" s="14" t="n">
        <v>21</v>
      </c>
      <c r="B36" s="8" t="inlineStr">
        <is>
          <t>First Aid Box</t>
        </is>
      </c>
      <c r="C36" s="9" t="n">
        <v>3</v>
      </c>
      <c r="D36" s="9" t="n">
        <v>0</v>
      </c>
      <c r="E36" s="9" t="n">
        <v>4</v>
      </c>
      <c r="F36" s="9">
        <f>IFERROR(MIN(C36,D36)*E36/C36,0)</f>
        <v/>
      </c>
      <c r="G36" s="9" t="inlineStr">
        <is>
          <t>03 Set</t>
        </is>
      </c>
    </row>
    <row r="37" ht="14.15" customHeight="1">
      <c r="A37" s="14" t="n">
        <v>22</v>
      </c>
      <c r="B37" s="8" t="inlineStr">
        <is>
          <t>International shore connection</t>
        </is>
      </c>
      <c r="C37" s="9" t="n">
        <v>1</v>
      </c>
      <c r="D37" s="9" t="n">
        <v>0</v>
      </c>
      <c r="E37" s="9" t="n">
        <v>6</v>
      </c>
      <c r="F37" s="9">
        <f>IFERROR(MIN(C37,D37)*E37/C37,0)</f>
        <v/>
      </c>
      <c r="G37" s="9" t="inlineStr">
        <is>
          <t>01 set</t>
        </is>
      </c>
    </row>
    <row r="38">
      <c r="A38" s="15" t="inlineStr">
        <is>
          <t>Sum</t>
        </is>
      </c>
      <c r="B38" s="11" t="n"/>
      <c r="C38" s="11" t="n"/>
      <c r="D38" s="12" t="n"/>
      <c r="E38" s="15">
        <f>SUM(E16:E37)</f>
        <v/>
      </c>
      <c r="F38" s="15">
        <f>SUM(F16:F37)</f>
        <v/>
      </c>
      <c r="G38" s="13" t="n"/>
    </row>
    <row r="39">
      <c r="A39" s="15" t="inlineStr">
        <is>
          <t>Score out of 100</t>
        </is>
      </c>
      <c r="B39" s="11" t="n"/>
      <c r="C39" s="11" t="n"/>
      <c r="D39" s="11" t="n"/>
      <c r="E39" s="12" t="n"/>
      <c r="F39" s="15">
        <f>F38/E38*100</f>
        <v/>
      </c>
      <c r="G39" s="13" t="n"/>
    </row>
    <row r="40" ht="9.75" customHeight="1"/>
    <row r="41">
      <c r="A41" s="15" t="inlineStr">
        <is>
          <t xml:space="preserve">Total achieved points out of 30  </t>
        </is>
      </c>
      <c r="B41" s="11" t="n"/>
      <c r="C41" s="11" t="n"/>
      <c r="D41" s="11" t="n"/>
      <c r="E41" s="12" t="n"/>
      <c r="F41" s="15">
        <f>F39*30/100</f>
        <v/>
      </c>
      <c r="G41" s="15" t="inlineStr">
        <is>
          <t>Points</t>
        </is>
      </c>
    </row>
  </sheetData>
  <mergeCells count="8">
    <mergeCell ref="A13:G13"/>
    <mergeCell ref="A39:E39"/>
    <mergeCell ref="C7:G7"/>
    <mergeCell ref="A1:G1"/>
    <mergeCell ref="A40:G40"/>
    <mergeCell ref="A38:D38"/>
    <mergeCell ref="A41:E41"/>
    <mergeCell ref="C8:G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Substation Maintenance and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Substation Maintenance and Servicing</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Substation Maintenance and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 with internet facility</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Transformer (100KVA)-11kV/0.4kV</t>
        </is>
      </c>
      <c r="C18" s="9" t="n">
        <v>1</v>
      </c>
      <c r="D18" s="9" t="n">
        <v>0</v>
      </c>
      <c r="E18" s="9" t="n">
        <v>10</v>
      </c>
      <c r="F18" s="9">
        <f>IFERROR(MIN(C18,D18)*E18/C18,0)</f>
        <v/>
      </c>
      <c r="G18" s="9" t="n"/>
    </row>
    <row r="19" ht="14.15" customHeight="1">
      <c r="A19" s="14" t="n">
        <v>4</v>
      </c>
      <c r="B19" s="8" t="inlineStr">
        <is>
          <t>Transformer coil winding machine</t>
        </is>
      </c>
      <c r="C19" s="9" t="n">
        <v>2</v>
      </c>
      <c r="D19" s="9" t="n">
        <v>0</v>
      </c>
      <c r="E19" s="9" t="n">
        <v>8</v>
      </c>
      <c r="F19" s="9">
        <f>IFERROR(MIN(C19,D19)*E19/C19,0)</f>
        <v/>
      </c>
      <c r="G19" s="9" t="n"/>
    </row>
    <row r="20" ht="14.15" customHeight="1">
      <c r="A20" s="14" t="n">
        <v>5</v>
      </c>
      <c r="B20" s="8" t="inlineStr">
        <is>
          <t>Transformer core cutting machine</t>
        </is>
      </c>
      <c r="C20" s="9" t="n">
        <v>2</v>
      </c>
      <c r="D20" s="9" t="n">
        <v>0</v>
      </c>
      <c r="E20" s="9" t="n">
        <v>8</v>
      </c>
      <c r="F20" s="9">
        <f>IFERROR(MIN(C20,D20)*E20/C20,0)</f>
        <v/>
      </c>
      <c r="G20" s="9" t="n"/>
    </row>
    <row r="21" ht="14.15" customHeight="1">
      <c r="A21" s="14" t="n">
        <v>6</v>
      </c>
      <c r="B21" s="8" t="inlineStr">
        <is>
          <t>Main Distribution Board with busbar, CB and other accessories (Training model)</t>
        </is>
      </c>
      <c r="C21" s="9" t="n">
        <v>2</v>
      </c>
      <c r="D21" s="9" t="n">
        <v>0</v>
      </c>
      <c r="E21" s="9" t="n">
        <v>8</v>
      </c>
      <c r="F21" s="9">
        <f>IFERROR(MIN(C21,D21)*E21/C21,0)</f>
        <v/>
      </c>
      <c r="G21" s="9" t="n"/>
    </row>
    <row r="22" ht="14.15" customHeight="1">
      <c r="A22" s="14" t="n">
        <v>7</v>
      </c>
      <c r="B22" s="8" t="inlineStr">
        <is>
          <t>Sub Distribution Board with busbar, CB and other accessories (Training model)</t>
        </is>
      </c>
      <c r="C22" s="9" t="n">
        <v>2</v>
      </c>
      <c r="D22" s="9" t="n">
        <v>0</v>
      </c>
      <c r="E22" s="9" t="n">
        <v>8</v>
      </c>
      <c r="F22" s="9">
        <f>IFERROR(MIN(C22,D22)*E22/C22,0)</f>
        <v/>
      </c>
      <c r="G22" s="9" t="n"/>
    </row>
    <row r="23" ht="14.15" customHeight="1">
      <c r="A23" s="14" t="n">
        <v>8</v>
      </c>
      <c r="B23" s="8" t="inlineStr">
        <is>
          <t>HT switchgear panel</t>
        </is>
      </c>
      <c r="C23" s="9" t="n">
        <v>1</v>
      </c>
      <c r="D23" s="9" t="n">
        <v>0</v>
      </c>
      <c r="E23" s="9" t="n">
        <v>9</v>
      </c>
      <c r="F23" s="9">
        <f>IFERROR(MIN(C23,D23)*E23/C23,0)</f>
        <v/>
      </c>
      <c r="G23" s="9" t="n"/>
    </row>
    <row r="24" ht="14.15" customHeight="1">
      <c r="A24" s="14" t="n">
        <v>9</v>
      </c>
      <c r="B24" s="8" t="inlineStr">
        <is>
          <t>LT switchgear panel</t>
        </is>
      </c>
      <c r="C24" s="9" t="n">
        <v>1</v>
      </c>
      <c r="D24" s="9" t="n">
        <v>0</v>
      </c>
      <c r="E24" s="9" t="n">
        <v>9</v>
      </c>
      <c r="F24" s="9">
        <f>IFERROR(MIN(C24,D24)*E24/C24,0)</f>
        <v/>
      </c>
      <c r="G24" s="9" t="n"/>
    </row>
    <row r="25" ht="14.15" customHeight="1">
      <c r="A25" s="14" t="n">
        <v>10</v>
      </c>
      <c r="B25" s="8" t="inlineStr">
        <is>
          <t>PFI panel</t>
        </is>
      </c>
      <c r="C25" s="9" t="n">
        <v>1</v>
      </c>
      <c r="D25" s="9" t="n">
        <v>0</v>
      </c>
      <c r="E25" s="9" t="n">
        <v>7</v>
      </c>
      <c r="F25" s="9">
        <f>IFERROR(MIN(C25,D25)*E25/C25,0)</f>
        <v/>
      </c>
      <c r="G25" s="9" t="n"/>
    </row>
    <row r="26" ht="14.15" customHeight="1">
      <c r="A26" s="14" t="n">
        <v>11</v>
      </c>
      <c r="B26" s="8" t="inlineStr">
        <is>
          <t>Magnetic contactor (coil voltage 220V and 400V)</t>
        </is>
      </c>
      <c r="C26" s="9" t="n">
        <v>10</v>
      </c>
      <c r="D26" s="9" t="n">
        <v>0</v>
      </c>
      <c r="E26" s="9" t="n">
        <v>6</v>
      </c>
      <c r="F26" s="9">
        <f>IFERROR(MIN(C26,D26)*E26/C26,0)</f>
        <v/>
      </c>
      <c r="G26" s="9" t="n"/>
    </row>
    <row r="27" ht="14.15" customHeight="1">
      <c r="A27" s="14" t="n">
        <v>12</v>
      </c>
      <c r="B27" s="8" t="inlineStr">
        <is>
          <t>Relay</t>
        </is>
      </c>
      <c r="C27" s="9" t="n">
        <v>5</v>
      </c>
      <c r="D27" s="9" t="n">
        <v>0</v>
      </c>
      <c r="E27" s="9" t="n">
        <v>5</v>
      </c>
      <c r="F27" s="9">
        <f>IFERROR(MIN(C27,D27)*E27/C27,0)</f>
        <v/>
      </c>
      <c r="G27" s="9" t="n"/>
    </row>
    <row r="28" ht="14.15" customHeight="1">
      <c r="A28" s="14" t="n">
        <v>13</v>
      </c>
      <c r="B28" s="8" t="inlineStr">
        <is>
          <t>Timer</t>
        </is>
      </c>
      <c r="C28" s="9" t="n">
        <v>5</v>
      </c>
      <c r="D28" s="9" t="n">
        <v>0</v>
      </c>
      <c r="E28" s="9" t="n">
        <v>4</v>
      </c>
      <c r="F28" s="9">
        <f>IFERROR(MIN(C28,D28)*E28/C28,0)</f>
        <v/>
      </c>
      <c r="G28" s="9" t="n"/>
    </row>
    <row r="29" ht="14.15" customHeight="1">
      <c r="A29" s="14" t="n">
        <v>14</v>
      </c>
      <c r="B29" s="8" t="inlineStr">
        <is>
          <t>Pilot lamp</t>
        </is>
      </c>
      <c r="C29" s="9" t="n">
        <v>6</v>
      </c>
      <c r="D29" s="9" t="n">
        <v>0</v>
      </c>
      <c r="E29" s="9" t="n">
        <v>3</v>
      </c>
      <c r="F29" s="9">
        <f>IFERROR(MIN(C29,D29)*E29/C29,0)</f>
        <v/>
      </c>
      <c r="G29" s="9" t="n"/>
    </row>
    <row r="30" ht="14.15" customHeight="1">
      <c r="A30" s="14" t="n">
        <v>15</v>
      </c>
      <c r="B30" s="8" t="inlineStr">
        <is>
          <t>Push switch</t>
        </is>
      </c>
      <c r="C30" s="9" t="n">
        <v>6</v>
      </c>
      <c r="D30" s="9" t="n">
        <v>0</v>
      </c>
      <c r="E30" s="9" t="n">
        <v>3</v>
      </c>
      <c r="F30" s="9">
        <f>IFERROR(MIN(C30,D30)*E30/C30,0)</f>
        <v/>
      </c>
      <c r="G30" s="9" t="n"/>
    </row>
    <row r="31" ht="14.15" customHeight="1">
      <c r="A31" s="14" t="n">
        <v>16</v>
      </c>
      <c r="B31" s="8" t="inlineStr">
        <is>
          <t>IDMT relay</t>
        </is>
      </c>
      <c r="C31" s="9" t="n">
        <v>2</v>
      </c>
      <c r="D31" s="9" t="n">
        <v>0</v>
      </c>
      <c r="E31" s="9" t="n">
        <v>6</v>
      </c>
      <c r="F31" s="9">
        <f>IFERROR(MIN(C31,D31)*E31/C31,0)</f>
        <v/>
      </c>
      <c r="G31" s="9" t="n"/>
    </row>
    <row r="32" ht="14.15" customHeight="1">
      <c r="A32" s="14" t="n">
        <v>17</v>
      </c>
      <c r="B32" s="8" t="inlineStr">
        <is>
          <t>Omron relay</t>
        </is>
      </c>
      <c r="C32" s="9" t="n">
        <v>2</v>
      </c>
      <c r="D32" s="9" t="n">
        <v>0</v>
      </c>
      <c r="E32" s="9" t="n">
        <v>5</v>
      </c>
      <c r="F32" s="9">
        <f>IFERROR(MIN(C32,D32)*E32/C32,0)</f>
        <v/>
      </c>
      <c r="G32" s="9" t="n"/>
    </row>
    <row r="33" ht="14.15" customHeight="1">
      <c r="A33" s="14" t="n">
        <v>18</v>
      </c>
      <c r="B33" s="8" t="inlineStr">
        <is>
          <t>Phase sequence relay</t>
        </is>
      </c>
      <c r="C33" s="9" t="n">
        <v>2</v>
      </c>
      <c r="D33" s="9" t="n">
        <v>0</v>
      </c>
      <c r="E33" s="9" t="n">
        <v>5</v>
      </c>
      <c r="F33" s="9">
        <f>IFERROR(MIN(C33,D33)*E33/C33,0)</f>
        <v/>
      </c>
      <c r="G33" s="9" t="n"/>
    </row>
    <row r="34" ht="14.15" customHeight="1">
      <c r="A34" s="14" t="n">
        <v>19</v>
      </c>
      <c r="B34" s="8" t="inlineStr">
        <is>
          <t>Electric drill machine</t>
        </is>
      </c>
      <c r="C34" s="9" t="n">
        <v>2</v>
      </c>
      <c r="D34" s="9" t="n">
        <v>0</v>
      </c>
      <c r="E34" s="9" t="n">
        <v>5</v>
      </c>
      <c r="F34" s="9">
        <f>IFERROR(MIN(C34,D34)*E34/C34,0)</f>
        <v/>
      </c>
      <c r="G34" s="9" t="n"/>
    </row>
    <row r="35" ht="14.15" customHeight="1">
      <c r="A35" s="14" t="n">
        <v>20</v>
      </c>
      <c r="B35" s="8" t="inlineStr">
        <is>
          <t>Electric grinding machine</t>
        </is>
      </c>
      <c r="C35" s="9" t="n">
        <v>2</v>
      </c>
      <c r="D35" s="9" t="n">
        <v>0</v>
      </c>
      <c r="E35" s="9" t="n">
        <v>5</v>
      </c>
      <c r="F35" s="9">
        <f>IFERROR(MIN(C35,D35)*E35/C35,0)</f>
        <v/>
      </c>
      <c r="G35" s="9" t="n"/>
    </row>
    <row r="36" ht="14.15" customHeight="1">
      <c r="A36" s="14" t="n">
        <v>21</v>
      </c>
      <c r="B36" s="8" t="inlineStr">
        <is>
          <t>Soldering Stations</t>
        </is>
      </c>
      <c r="C36" s="9" t="n">
        <v>2</v>
      </c>
      <c r="D36" s="9" t="n">
        <v>0</v>
      </c>
      <c r="E36" s="9" t="n">
        <v>4</v>
      </c>
      <c r="F36" s="9">
        <f>IFERROR(MIN(C36,D36)*E36/C36,0)</f>
        <v/>
      </c>
      <c r="G36" s="9" t="n"/>
    </row>
    <row r="37" ht="14.15" customHeight="1">
      <c r="A37" s="14" t="n">
        <v>22</v>
      </c>
      <c r="B37" s="8" t="inlineStr">
        <is>
          <t>CT</t>
        </is>
      </c>
      <c r="C37" s="9" t="n">
        <v>3</v>
      </c>
      <c r="D37" s="9" t="n">
        <v>0</v>
      </c>
      <c r="E37" s="9" t="n">
        <v>6</v>
      </c>
      <c r="F37" s="9">
        <f>IFERROR(MIN(C37,D37)*E37/C37,0)</f>
        <v/>
      </c>
      <c r="G37" s="9" t="n"/>
    </row>
    <row r="38" ht="14.15" customHeight="1">
      <c r="A38" s="14" t="n">
        <v>23</v>
      </c>
      <c r="B38" s="8" t="inlineStr">
        <is>
          <t>PT</t>
        </is>
      </c>
      <c r="C38" s="9" t="n">
        <v>2</v>
      </c>
      <c r="D38" s="9" t="n">
        <v>0</v>
      </c>
      <c r="E38" s="9" t="n">
        <v>6</v>
      </c>
      <c r="F38" s="9">
        <f>IFERROR(MIN(C38,D38)*E38/C38,0)</f>
        <v/>
      </c>
      <c r="G38" s="9" t="n"/>
    </row>
    <row r="39" ht="14.15" customHeight="1">
      <c r="A39" s="14" t="n">
        <v>24</v>
      </c>
      <c r="B39" s="8" t="inlineStr">
        <is>
          <t>Indicating lamp</t>
        </is>
      </c>
      <c r="C39" s="9" t="n">
        <v>3</v>
      </c>
      <c r="D39" s="9" t="n">
        <v>0</v>
      </c>
      <c r="E39" s="9" t="n">
        <v>3</v>
      </c>
      <c r="F39" s="9">
        <f>IFERROR(MIN(C39,D39)*E39/C39,0)</f>
        <v/>
      </c>
      <c r="G39" s="9" t="n"/>
    </row>
    <row r="40" ht="14.15" customHeight="1">
      <c r="A40" s="14" t="n">
        <v>25</v>
      </c>
      <c r="B40" s="8" t="inlineStr">
        <is>
          <t>Multi meter/AVO meter</t>
        </is>
      </c>
      <c r="C40" s="9" t="n">
        <v>10</v>
      </c>
      <c r="D40" s="9" t="n">
        <v>0</v>
      </c>
      <c r="E40" s="9" t="n">
        <v>6</v>
      </c>
      <c r="F40" s="9">
        <f>IFERROR(MIN(C40,D40)*E40/C40,0)</f>
        <v/>
      </c>
      <c r="G40" s="9" t="n"/>
    </row>
    <row r="41" ht="14.15" customHeight="1">
      <c r="A41" s="14" t="n">
        <v>26</v>
      </c>
      <c r="B41" s="8" t="inlineStr">
        <is>
          <t>Earth tester</t>
        </is>
      </c>
      <c r="C41" s="9" t="n">
        <v>2</v>
      </c>
      <c r="D41" s="9" t="n">
        <v>0</v>
      </c>
      <c r="E41" s="9" t="n">
        <v>6</v>
      </c>
      <c r="F41" s="9">
        <f>IFERROR(MIN(C41,D41)*E41/C41,0)</f>
        <v/>
      </c>
      <c r="G41" s="9" t="n"/>
    </row>
    <row r="42" ht="14.15" customHeight="1">
      <c r="A42" s="14" t="n">
        <v>27</v>
      </c>
      <c r="B42" s="8" t="inlineStr">
        <is>
          <t>Digital weight machine</t>
        </is>
      </c>
      <c r="C42" s="9" t="n">
        <v>1</v>
      </c>
      <c r="D42" s="9" t="n">
        <v>0</v>
      </c>
      <c r="E42" s="9" t="n">
        <v>3</v>
      </c>
      <c r="F42" s="9">
        <f>IFERROR(MIN(C42,D42)*E42/C42,0)</f>
        <v/>
      </c>
      <c r="G42" s="9" t="n"/>
    </row>
    <row r="43" ht="14.15" customHeight="1">
      <c r="A43" s="14" t="n">
        <v>28</v>
      </c>
      <c r="B43" s="8" t="inlineStr">
        <is>
          <t>Insulation tester</t>
        </is>
      </c>
      <c r="C43" s="9" t="n">
        <v>2</v>
      </c>
      <c r="D43" s="9" t="n">
        <v>0</v>
      </c>
      <c r="E43" s="9" t="n">
        <v>6</v>
      </c>
      <c r="F43" s="9">
        <f>IFERROR(MIN(C43,D43)*E43/C43,0)</f>
        <v/>
      </c>
      <c r="G43" s="9" t="n"/>
    </row>
    <row r="44" ht="14.15" customHeight="1">
      <c r="A44" s="14" t="n">
        <v>29</v>
      </c>
      <c r="B44" s="8" t="inlineStr">
        <is>
          <t>Tachometer</t>
        </is>
      </c>
      <c r="C44" s="9" t="n">
        <v>2</v>
      </c>
      <c r="D44" s="9" t="n">
        <v>0</v>
      </c>
      <c r="E44" s="9" t="n">
        <v>4</v>
      </c>
      <c r="F44" s="9">
        <f>IFERROR(MIN(C44,D44)*E44/C44,0)</f>
        <v/>
      </c>
      <c r="G44" s="9" t="n"/>
    </row>
    <row r="45" ht="14.15" customHeight="1">
      <c r="A45" s="14" t="n">
        <v>30</v>
      </c>
      <c r="B45" s="8" t="inlineStr">
        <is>
          <t>Clamp Meter</t>
        </is>
      </c>
      <c r="C45" s="9" t="n">
        <v>2</v>
      </c>
      <c r="D45" s="9" t="n">
        <v>0</v>
      </c>
      <c r="E45" s="9" t="n">
        <v>5</v>
      </c>
      <c r="F45" s="9">
        <f>IFERROR(MIN(C45,D45)*E45/C45,0)</f>
        <v/>
      </c>
      <c r="G45" s="9" t="n"/>
    </row>
    <row r="46" ht="14.15" customHeight="1">
      <c r="A46" s="14" t="n">
        <v>31</v>
      </c>
      <c r="B46" s="8" t="inlineStr">
        <is>
          <t>Panel lock</t>
        </is>
      </c>
      <c r="C46" s="9" t="n">
        <v>2</v>
      </c>
      <c r="D46" s="9" t="n">
        <v>0</v>
      </c>
      <c r="E46" s="9" t="n">
        <v>3</v>
      </c>
      <c r="F46" s="9">
        <f>IFERROR(MIN(C46,D46)*E46/C46,0)</f>
        <v/>
      </c>
      <c r="G46" s="9" t="n"/>
    </row>
    <row r="47" ht="14.15" customHeight="1">
      <c r="A47" s="14" t="n">
        <v>32</v>
      </c>
      <c r="B47" s="8" t="inlineStr">
        <is>
          <t>Air vent</t>
        </is>
      </c>
      <c r="C47" s="9" t="n">
        <v>2</v>
      </c>
      <c r="D47" s="9" t="n">
        <v>0</v>
      </c>
      <c r="E47" s="9" t="n">
        <v>3</v>
      </c>
      <c r="F47" s="9">
        <f>IFERROR(MIN(C47,D47)*E47/C47,0)</f>
        <v/>
      </c>
      <c r="G47" s="9" t="n"/>
    </row>
    <row r="48" ht="14.15" customHeight="1">
      <c r="A48" s="14" t="n">
        <v>33</v>
      </c>
      <c r="B48" s="8" t="inlineStr">
        <is>
          <t>Exhaust fan</t>
        </is>
      </c>
      <c r="C48" s="9" t="n">
        <v>2</v>
      </c>
      <c r="D48" s="9" t="n">
        <v>0</v>
      </c>
      <c r="E48" s="9" t="n">
        <v>3</v>
      </c>
      <c r="F48" s="9">
        <f>IFERROR(MIN(C48,D48)*E48/C48,0)</f>
        <v/>
      </c>
      <c r="G48" s="9" t="n"/>
    </row>
    <row r="49" ht="14.15" customHeight="1">
      <c r="A49" s="14" t="n">
        <v>34</v>
      </c>
      <c r="B49" s="8" t="inlineStr">
        <is>
          <t>Insulator</t>
        </is>
      </c>
      <c r="C49" s="9" t="n">
        <v>8</v>
      </c>
      <c r="D49" s="9" t="n">
        <v>0</v>
      </c>
      <c r="E49" s="9" t="n">
        <v>4</v>
      </c>
      <c r="F49" s="9">
        <f>IFERROR(MIN(C49,D49)*E49/C49,0)</f>
        <v/>
      </c>
      <c r="G49" s="9" t="n"/>
    </row>
    <row r="50" ht="14.15" customHeight="1">
      <c r="A50" s="14" t="n">
        <v>35</v>
      </c>
      <c r="B50" s="8" t="inlineStr">
        <is>
          <t>Copper (12’)</t>
        </is>
      </c>
      <c r="C50" s="9" t="n">
        <v>1</v>
      </c>
      <c r="D50" s="9" t="n">
        <v>0</v>
      </c>
      <c r="E50" s="9" t="n">
        <v>3</v>
      </c>
      <c r="F50" s="9">
        <f>IFERROR(MIN(C50,D50)*E50/C50,0)</f>
        <v/>
      </c>
      <c r="G50" s="9" t="n"/>
    </row>
    <row r="51" ht="14.15" customHeight="1">
      <c r="A51" s="14" t="n">
        <v>36</v>
      </c>
      <c r="B51" s="8" t="inlineStr">
        <is>
          <t>Copper tube (15’)</t>
        </is>
      </c>
      <c r="C51" s="9" t="n">
        <v>3</v>
      </c>
      <c r="D51" s="9" t="n">
        <v>0</v>
      </c>
      <c r="E51" s="9" t="n">
        <v>3</v>
      </c>
      <c r="F51" s="9">
        <f>IFERROR(MIN(C51,D51)*E51/C51,0)</f>
        <v/>
      </c>
      <c r="G51" s="9" t="n"/>
    </row>
    <row r="52">
      <c r="A52" s="15" t="inlineStr">
        <is>
          <t>Sum</t>
        </is>
      </c>
      <c r="B52" s="11" t="n"/>
      <c r="C52" s="11" t="n"/>
      <c r="D52" s="12" t="n"/>
      <c r="E52" s="15">
        <f>SUM(E16:E51)</f>
        <v/>
      </c>
      <c r="F52" s="15">
        <f>SUM(F16:F51)</f>
        <v/>
      </c>
      <c r="G52" s="13" t="n"/>
    </row>
    <row r="53">
      <c r="A53" s="15" t="inlineStr">
        <is>
          <t>Score out of 100</t>
        </is>
      </c>
      <c r="B53" s="11" t="n"/>
      <c r="C53" s="11" t="n"/>
      <c r="D53" s="11" t="n"/>
      <c r="E53" s="12" t="n"/>
      <c r="F53" s="15">
        <f>F52/E52*100</f>
        <v/>
      </c>
      <c r="G53" s="13" t="n"/>
    </row>
    <row r="54" ht="9.75" customHeight="1"/>
    <row r="55">
      <c r="A55" s="15" t="inlineStr">
        <is>
          <t xml:space="preserve">Total achieved points out of 30  </t>
        </is>
      </c>
      <c r="B55" s="11" t="n"/>
      <c r="C55" s="11" t="n"/>
      <c r="D55" s="11" t="n"/>
      <c r="E55" s="12" t="n"/>
      <c r="F55" s="15">
        <f>F53*30/100</f>
        <v/>
      </c>
      <c r="G55" s="15" t="inlineStr">
        <is>
          <t>Points</t>
        </is>
      </c>
    </row>
  </sheetData>
  <mergeCells count="8">
    <mergeCell ref="A13:G13"/>
    <mergeCell ref="A55:E55"/>
    <mergeCell ref="C7:G7"/>
    <mergeCell ref="A53:E53"/>
    <mergeCell ref="A1:G1"/>
    <mergeCell ref="A52:D52"/>
    <mergeCell ref="A54:G54"/>
    <mergeCell ref="C8:G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Ship Painting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Ship Painting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Ship Painting,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Spray Guns (Airless &amp; Conventional)</t>
        </is>
      </c>
      <c r="C19" s="9" t="n">
        <v>5</v>
      </c>
      <c r="D19" s="9" t="n">
        <v>0</v>
      </c>
      <c r="E19" s="9" t="n">
        <v>9</v>
      </c>
      <c r="F19" s="9">
        <f>IFERROR(MIN(C19,D19)*E19/C19,0)</f>
        <v/>
      </c>
      <c r="G19" s="9" t="n"/>
    </row>
    <row r="20" ht="14.15" customHeight="1">
      <c r="A20" s="14" t="n">
        <v>5</v>
      </c>
      <c r="B20" s="8" t="inlineStr">
        <is>
          <t>Paint Brushes</t>
        </is>
      </c>
      <c r="C20" s="9" t="n">
        <v>25</v>
      </c>
      <c r="D20" s="9" t="n">
        <v>0</v>
      </c>
      <c r="E20" s="9" t="n">
        <v>4</v>
      </c>
      <c r="F20" s="9">
        <f>IFERROR(MIN(C20,D20)*E20/C20,0)</f>
        <v/>
      </c>
      <c r="G20" s="9" t="n"/>
    </row>
    <row r="21" ht="14.15" customHeight="1">
      <c r="A21" s="14" t="n">
        <v>6</v>
      </c>
      <c r="B21" s="8" t="inlineStr">
        <is>
          <t>Paint Rollers</t>
        </is>
      </c>
      <c r="C21" s="9" t="n">
        <v>25</v>
      </c>
      <c r="D21" s="9" t="n">
        <v>0</v>
      </c>
      <c r="E21" s="9" t="n">
        <v>4</v>
      </c>
      <c r="F21" s="9">
        <f>IFERROR(MIN(C21,D21)*E21/C21,0)</f>
        <v/>
      </c>
      <c r="G21" s="9" t="n"/>
    </row>
    <row r="22" ht="14.15" customHeight="1">
      <c r="A22" s="14" t="n">
        <v>7</v>
      </c>
      <c r="B22" s="8" t="inlineStr">
        <is>
          <t>Paint Trays</t>
        </is>
      </c>
      <c r="C22" s="9" t="n">
        <v>25</v>
      </c>
      <c r="D22" s="9" t="n">
        <v>0</v>
      </c>
      <c r="E22" s="9" t="n">
        <v>3</v>
      </c>
      <c r="F22" s="9">
        <f>IFERROR(MIN(C22,D22)*E22/C22,0)</f>
        <v/>
      </c>
      <c r="G22" s="9" t="n"/>
    </row>
    <row r="23" ht="14.15" customHeight="1">
      <c r="A23" s="14" t="n">
        <v>8</v>
      </c>
      <c r="B23" s="8" t="inlineStr">
        <is>
          <t>Air Compressors</t>
        </is>
      </c>
      <c r="C23" s="9" t="n">
        <v>2</v>
      </c>
      <c r="D23" s="9" t="n">
        <v>0</v>
      </c>
      <c r="E23" s="9" t="n">
        <v>7</v>
      </c>
      <c r="F23" s="9">
        <f>IFERROR(MIN(C23,D23)*E23/C23,0)</f>
        <v/>
      </c>
      <c r="G23" s="9" t="n"/>
    </row>
    <row r="24" ht="14.15" customHeight="1">
      <c r="A24" s="14" t="n">
        <v>9</v>
      </c>
      <c r="B24" s="8" t="inlineStr">
        <is>
          <t>Grinders</t>
        </is>
      </c>
      <c r="C24" s="9" t="n">
        <v>10</v>
      </c>
      <c r="D24" s="9" t="n">
        <v>0</v>
      </c>
      <c r="E24" s="9" t="n">
        <v>6</v>
      </c>
      <c r="F24" s="9">
        <f>IFERROR(MIN(C24,D24)*E24/C24,0)</f>
        <v/>
      </c>
      <c r="G24" s="9" t="n"/>
    </row>
    <row r="25" ht="14.15" customHeight="1">
      <c r="A25" s="14" t="n">
        <v>10</v>
      </c>
      <c r="B25" s="8" t="inlineStr">
        <is>
          <t>Scaffolding and Ladders</t>
        </is>
      </c>
      <c r="C25" s="9" t="n">
        <v>2</v>
      </c>
      <c r="D25" s="9" t="n">
        <v>0</v>
      </c>
      <c r="E25" s="9" t="n">
        <v>6</v>
      </c>
      <c r="F25" s="9">
        <f>IFERROR(MIN(C25,D25)*E25/C25,0)</f>
        <v/>
      </c>
      <c r="G25" s="9" t="n"/>
    </row>
    <row r="26" ht="14.15" customHeight="1">
      <c r="A26" s="14" t="n">
        <v>11</v>
      </c>
      <c r="B26" s="8" t="inlineStr">
        <is>
          <t>Pressure Washers (Water)</t>
        </is>
      </c>
      <c r="C26" s="9" t="n">
        <v>2</v>
      </c>
      <c r="D26" s="9" t="n">
        <v>0</v>
      </c>
      <c r="E26" s="9" t="n">
        <v>6</v>
      </c>
      <c r="F26" s="9">
        <f>IFERROR(MIN(C26,D26)*E26/C26,0)</f>
        <v/>
      </c>
      <c r="G26" s="9" t="n"/>
    </row>
    <row r="27" ht="14.15" customHeight="1">
      <c r="A27" s="14" t="n">
        <v>12</v>
      </c>
      <c r="B27" s="8" t="inlineStr">
        <is>
          <t>Paint Mixers</t>
        </is>
      </c>
      <c r="C27" s="9" t="n">
        <v>1</v>
      </c>
      <c r="D27" s="9" t="n">
        <v>0</v>
      </c>
      <c r="E27" s="9" t="n">
        <v>6</v>
      </c>
      <c r="F27" s="9">
        <f>IFERROR(MIN(C27,D27)*E27/C27,0)</f>
        <v/>
      </c>
      <c r="G27" s="9" t="n"/>
    </row>
    <row r="28" ht="14.15" customHeight="1">
      <c r="A28" s="14" t="n">
        <v>13</v>
      </c>
      <c r="B28" s="8" t="inlineStr">
        <is>
          <t>Paint Pumps</t>
        </is>
      </c>
      <c r="C28" s="9" t="n">
        <v>2</v>
      </c>
      <c r="D28" s="9" t="n">
        <v>0</v>
      </c>
      <c r="E28" s="9" t="n">
        <v>6</v>
      </c>
      <c r="F28" s="9">
        <f>IFERROR(MIN(C28,D28)*E28/C28,0)</f>
        <v/>
      </c>
      <c r="G28" s="9" t="n"/>
    </row>
    <row r="29" ht="14.15" customHeight="1">
      <c r="A29" s="14" t="n">
        <v>14</v>
      </c>
      <c r="B29" s="8" t="inlineStr">
        <is>
          <t>Paint Thickness Gauge</t>
        </is>
      </c>
      <c r="C29" s="9" t="n">
        <v>2</v>
      </c>
      <c r="D29" s="9" t="n">
        <v>0</v>
      </c>
      <c r="E29" s="9" t="n">
        <v>5</v>
      </c>
      <c r="F29" s="9">
        <f>IFERROR(MIN(C29,D29)*E29/C29,0)</f>
        <v/>
      </c>
      <c r="G29" s="9" t="n"/>
    </row>
    <row r="30" ht="14.15" customHeight="1">
      <c r="A30" s="14" t="n">
        <v>15</v>
      </c>
      <c r="B30" s="8" t="inlineStr">
        <is>
          <t>Air blower</t>
        </is>
      </c>
      <c r="C30" s="9" t="n">
        <v>2</v>
      </c>
      <c r="D30" s="9" t="n">
        <v>0</v>
      </c>
      <c r="E30" s="9" t="n">
        <v>4</v>
      </c>
      <c r="F30" s="9">
        <f>IFERROR(MIN(C30,D30)*E30/C30,0)</f>
        <v/>
      </c>
      <c r="G30" s="9" t="n"/>
    </row>
    <row r="31" ht="14.15" customHeight="1">
      <c r="A31" s="14" t="n">
        <v>16</v>
      </c>
      <c r="B31" s="8" t="inlineStr">
        <is>
          <t>Surface Cleaning Equipment (Blasting, Sandblasting Machines)</t>
        </is>
      </c>
      <c r="C31" s="9" t="n">
        <v>2</v>
      </c>
      <c r="D31" s="9" t="n">
        <v>0</v>
      </c>
      <c r="E31" s="9" t="n">
        <v>8</v>
      </c>
      <c r="F31" s="9">
        <f>IFERROR(MIN(C31,D31)*E31/C31,0)</f>
        <v/>
      </c>
      <c r="G31" s="9" t="n"/>
    </row>
    <row r="32">
      <c r="A32" s="15" t="inlineStr">
        <is>
          <t>Sum</t>
        </is>
      </c>
      <c r="B32" s="11" t="n"/>
      <c r="C32" s="11" t="n"/>
      <c r="D32" s="12" t="n"/>
      <c r="E32" s="15">
        <f>SUM(E16:E31)</f>
        <v/>
      </c>
      <c r="F32" s="15">
        <f>SUM(F16:F31)</f>
        <v/>
      </c>
      <c r="G32" s="13" t="n"/>
    </row>
    <row r="33">
      <c r="A33" s="15" t="inlineStr">
        <is>
          <t>Score out of 100</t>
        </is>
      </c>
      <c r="B33" s="11" t="n"/>
      <c r="C33" s="11" t="n"/>
      <c r="D33" s="11" t="n"/>
      <c r="E33" s="12" t="n"/>
      <c r="F33" s="15">
        <f>F32/E32*100</f>
        <v/>
      </c>
      <c r="G33" s="13" t="n"/>
    </row>
    <row r="34" ht="9.75" customHeight="1"/>
    <row r="35">
      <c r="A35" s="15" t="inlineStr">
        <is>
          <t xml:space="preserve">Total achieved points out of 30  </t>
        </is>
      </c>
      <c r="B35" s="11" t="n"/>
      <c r="C35" s="11" t="n"/>
      <c r="D35" s="11" t="n"/>
      <c r="E35" s="12" t="n"/>
      <c r="F35" s="15">
        <f>F33*30/100</f>
        <v/>
      </c>
      <c r="G35" s="15"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Agriculture Machinery Operation and Maintenance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Agriculture Machinery Operation and Maintenance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Agriculture Machinery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Tractor (Power Tiller)</t>
        </is>
      </c>
      <c r="C19" s="9" t="n">
        <v>5</v>
      </c>
      <c r="D19" s="9" t="n">
        <v>0</v>
      </c>
      <c r="E19" s="9" t="n">
        <v>10</v>
      </c>
      <c r="F19" s="9">
        <f>IFERROR(MIN(C19,D19)*E19/C19,0)</f>
        <v/>
      </c>
      <c r="G19" s="9" t="n"/>
    </row>
    <row r="20" ht="14.15" customHeight="1">
      <c r="A20" s="14" t="n">
        <v>5</v>
      </c>
      <c r="B20" s="8" t="inlineStr">
        <is>
          <t>Tiller Attachments</t>
        </is>
      </c>
      <c r="C20" s="9" t="n">
        <v>5</v>
      </c>
      <c r="D20" s="9" t="n">
        <v>0</v>
      </c>
      <c r="E20" s="9" t="n">
        <v>8</v>
      </c>
      <c r="F20" s="9">
        <f>IFERROR(MIN(C20,D20)*E20/C20,0)</f>
        <v/>
      </c>
      <c r="G20" s="9" t="n"/>
    </row>
    <row r="21" ht="14.15" customHeight="1">
      <c r="A21" s="14" t="n">
        <v>6</v>
      </c>
      <c r="B21" s="8" t="inlineStr">
        <is>
          <t>Tractor Maintenance Tools Kit</t>
        </is>
      </c>
      <c r="C21" s="9" t="n">
        <v>5</v>
      </c>
      <c r="D21" s="9" t="n">
        <v>0</v>
      </c>
      <c r="E21" s="9" t="n">
        <v>6</v>
      </c>
      <c r="F21" s="9">
        <f>IFERROR(MIN(C21,D21)*E21/C21,0)</f>
        <v/>
      </c>
      <c r="G21" s="9" t="n"/>
    </row>
    <row r="22" ht="14.15" customHeight="1">
      <c r="A22" s="14" t="n">
        <v>7</v>
      </c>
      <c r="B22" s="8" t="inlineStr">
        <is>
          <t>Centrifugal Pumps (with adjustable nozzles and valves)</t>
        </is>
      </c>
      <c r="C22" s="9" t="n">
        <v>6</v>
      </c>
      <c r="D22" s="9" t="n">
        <v>0</v>
      </c>
      <c r="E22" s="9" t="n">
        <v>7</v>
      </c>
      <c r="F22" s="9">
        <f>IFERROR(MIN(C22,D22)*E22/C22,0)</f>
        <v/>
      </c>
      <c r="G22" s="9" t="n"/>
    </row>
    <row r="23" ht="14.15" customHeight="1">
      <c r="A23" s="14" t="n">
        <v>8</v>
      </c>
      <c r="B23" s="8" t="inlineStr">
        <is>
          <t>Submersible Pumps (for deep well operations)</t>
        </is>
      </c>
      <c r="C23" s="9" t="n">
        <v>2</v>
      </c>
      <c r="D23" s="9" t="n">
        <v>0</v>
      </c>
      <c r="E23" s="9" t="n">
        <v>7</v>
      </c>
      <c r="F23" s="9">
        <f>IFERROR(MIN(C23,D23)*E23/C23,0)</f>
        <v/>
      </c>
      <c r="G23" s="9" t="n"/>
    </row>
    <row r="24" ht="14.15" customHeight="1">
      <c r="A24" s="14" t="n">
        <v>9</v>
      </c>
      <c r="B24" s="8" t="inlineStr">
        <is>
          <t>Manual Sprayers (for small-scale operations)</t>
        </is>
      </c>
      <c r="C24" s="9" t="n">
        <v>10</v>
      </c>
      <c r="D24" s="9" t="n">
        <v>0</v>
      </c>
      <c r="E24" s="9" t="n">
        <v>5</v>
      </c>
      <c r="F24" s="9">
        <f>IFERROR(MIN(C24,D24)*E24/C24,0)</f>
        <v/>
      </c>
      <c r="G24" s="9" t="n"/>
    </row>
    <row r="25" ht="14.15" customHeight="1">
      <c r="A25" s="14" t="n">
        <v>10</v>
      </c>
      <c r="B25" s="8" t="inlineStr">
        <is>
          <t>Power Sprayers (for larger-scale operations)</t>
        </is>
      </c>
      <c r="C25" s="9" t="n">
        <v>5</v>
      </c>
      <c r="D25" s="9" t="n">
        <v>0</v>
      </c>
      <c r="E25" s="9" t="n">
        <v>6</v>
      </c>
      <c r="F25" s="9">
        <f>IFERROR(MIN(C25,D25)*E25/C25,0)</f>
        <v/>
      </c>
      <c r="G25" s="9" t="n"/>
    </row>
    <row r="26" ht="14.15" customHeight="1">
      <c r="A26" s="14" t="n">
        <v>11</v>
      </c>
      <c r="B26" s="8" t="inlineStr">
        <is>
          <t>Rice/Wheat Reaper Machine</t>
        </is>
      </c>
      <c r="C26" s="9" t="n">
        <v>2</v>
      </c>
      <c r="D26" s="9" t="n">
        <v>0</v>
      </c>
      <c r="E26" s="9" t="n">
        <v>8</v>
      </c>
      <c r="F26" s="9">
        <f>IFERROR(MIN(C26,D26)*E26/C26,0)</f>
        <v/>
      </c>
      <c r="G26" s="9" t="n"/>
    </row>
    <row r="27" ht="14.15" customHeight="1">
      <c r="A27" s="14" t="n">
        <v>12</v>
      </c>
      <c r="B27" s="8" t="inlineStr">
        <is>
          <t>Adjustable Reaper Blades for different crop heights</t>
        </is>
      </c>
      <c r="C27" s="9" t="n">
        <v>2</v>
      </c>
      <c r="D27" s="9" t="n">
        <v>0</v>
      </c>
      <c r="E27" s="9" t="n">
        <v>5</v>
      </c>
      <c r="F27" s="9">
        <f>IFERROR(MIN(C27,D27)*E27/C27,0)</f>
        <v/>
      </c>
      <c r="G27" s="9" t="n"/>
    </row>
    <row r="28" ht="14.15" customHeight="1">
      <c r="A28" s="14" t="n">
        <v>13</v>
      </c>
      <c r="B28" s="8" t="inlineStr">
        <is>
          <t>Power Threshers (Close Drum models)</t>
        </is>
      </c>
      <c r="C28" s="9" t="n">
        <v>2</v>
      </c>
      <c r="D28" s="9" t="n">
        <v>0</v>
      </c>
      <c r="E28" s="9" t="n">
        <v>8</v>
      </c>
      <c r="F28" s="9">
        <f>IFERROR(MIN(C28,D28)*E28/C28,0)</f>
        <v/>
      </c>
      <c r="G28" s="9" t="n"/>
    </row>
    <row r="29" ht="14.15" customHeight="1">
      <c r="A29" s="14" t="n">
        <v>14</v>
      </c>
      <c r="B29" s="8" t="inlineStr">
        <is>
          <t>Engine Diagnostic Tools</t>
        </is>
      </c>
      <c r="C29" s="9" t="n">
        <v>5</v>
      </c>
      <c r="D29" s="9" t="n">
        <v>0</v>
      </c>
      <c r="E29" s="9" t="n">
        <v>6</v>
      </c>
      <c r="F29" s="9">
        <f>IFERROR(MIN(C29,D29)*E29/C29,0)</f>
        <v/>
      </c>
      <c r="G29" s="9" t="n"/>
    </row>
    <row r="30" ht="14.15" customHeight="1">
      <c r="A30" s="14" t="n">
        <v>15</v>
      </c>
      <c r="B30" s="8" t="inlineStr">
        <is>
          <t>Diesel engine (for maintenance)</t>
        </is>
      </c>
      <c r="C30" s="9" t="n">
        <v>5</v>
      </c>
      <c r="D30" s="9" t="n">
        <v>0</v>
      </c>
      <c r="E30" s="9" t="n">
        <v>7</v>
      </c>
      <c r="F30" s="9">
        <f>IFERROR(MIN(C30,D30)*E30/C30,0)</f>
        <v/>
      </c>
      <c r="G30" s="9" t="n"/>
    </row>
    <row r="31">
      <c r="A31" s="15" t="inlineStr">
        <is>
          <t>Sum</t>
        </is>
      </c>
      <c r="B31" s="11" t="n"/>
      <c r="C31" s="11" t="n"/>
      <c r="D31" s="12" t="n"/>
      <c r="E31" s="15">
        <f>SUM(E16:E30)</f>
        <v/>
      </c>
      <c r="F31" s="15">
        <f>SUM(F16:F30)</f>
        <v/>
      </c>
      <c r="G31" s="13" t="n"/>
    </row>
    <row r="32">
      <c r="A32" s="15" t="inlineStr">
        <is>
          <t>Score out of 100</t>
        </is>
      </c>
      <c r="B32" s="11" t="n"/>
      <c r="C32" s="11" t="n"/>
      <c r="D32" s="11" t="n"/>
      <c r="E32" s="12" t="n"/>
      <c r="F32" s="15">
        <f>F31/E31*100</f>
        <v/>
      </c>
      <c r="G32" s="13" t="n"/>
    </row>
    <row r="33" ht="9.75" customHeight="1"/>
    <row r="34">
      <c r="A34" s="15" t="inlineStr">
        <is>
          <t xml:space="preserve">Total achieved points out of 30  </t>
        </is>
      </c>
      <c r="B34" s="11" t="n"/>
      <c r="C34" s="11" t="n"/>
      <c r="D34" s="11" t="n"/>
      <c r="E34" s="12" t="n"/>
      <c r="F34" s="15">
        <f>F32*30/100</f>
        <v/>
      </c>
      <c r="G34" s="15"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Heavy Equipment Operation (Road Roller &amp; Excavator)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Heavy Equipment Operation (Road Roller &amp; Excavator)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Heavy Equipment Operation (Road Roller &amp; Excavator),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Road roller</t>
        </is>
      </c>
      <c r="C18" s="9" t="n">
        <v>1</v>
      </c>
      <c r="D18" s="9" t="n">
        <v>0</v>
      </c>
      <c r="E18" s="9" t="n">
        <v>10</v>
      </c>
      <c r="F18" s="9">
        <f>IFERROR(MIN(C18,D18)*E18/C18,0)</f>
        <v/>
      </c>
      <c r="G18" s="9" t="n"/>
    </row>
    <row r="19" ht="14.15" customHeight="1">
      <c r="A19" s="14" t="n">
        <v>4</v>
      </c>
      <c r="B19" s="8" t="inlineStr">
        <is>
          <t>Excavator</t>
        </is>
      </c>
      <c r="C19" s="9" t="n">
        <v>1</v>
      </c>
      <c r="D19" s="9" t="n">
        <v>0</v>
      </c>
      <c r="E19" s="9" t="n">
        <v>10</v>
      </c>
      <c r="F19" s="9">
        <f>IFERROR(MIN(C19,D19)*E19/C19,0)</f>
        <v/>
      </c>
      <c r="G19" s="9" t="n"/>
    </row>
    <row r="20" ht="14.15" customHeight="1">
      <c r="A20" s="14" t="n">
        <v>5</v>
      </c>
      <c r="B20" s="8" t="inlineStr">
        <is>
          <t>Excavator Attachments (Orange grapple)</t>
        </is>
      </c>
      <c r="C20" s="9" t="n">
        <v>1</v>
      </c>
      <c r="D20" s="9" t="n">
        <v>0</v>
      </c>
      <c r="E20" s="9" t="n">
        <v>7</v>
      </c>
      <c r="F20" s="9">
        <f>IFERROR(MIN(C20,D20)*E20/C20,0)</f>
        <v/>
      </c>
      <c r="G20" s="9" t="n"/>
    </row>
    <row r="21" ht="14.15" customHeight="1">
      <c r="A21" s="14" t="n">
        <v>6</v>
      </c>
      <c r="B21" s="8" t="inlineStr">
        <is>
          <t>Blower</t>
        </is>
      </c>
      <c r="C21" s="9" t="n">
        <v>2</v>
      </c>
      <c r="D21" s="9" t="n">
        <v>0</v>
      </c>
      <c r="E21" s="9" t="n">
        <v>4</v>
      </c>
      <c r="F21" s="9">
        <f>IFERROR(MIN(C21,D21)*E21/C21,0)</f>
        <v/>
      </c>
      <c r="G21" s="9" t="n"/>
    </row>
    <row r="22" ht="14.15" customHeight="1">
      <c r="A22" s="14" t="n">
        <v>7</v>
      </c>
      <c r="B22" s="8" t="inlineStr">
        <is>
          <t>Air Compressor</t>
        </is>
      </c>
      <c r="C22" s="9" t="n">
        <v>2</v>
      </c>
      <c r="D22" s="9" t="n">
        <v>0</v>
      </c>
      <c r="E22" s="9" t="n">
        <v>6</v>
      </c>
      <c r="F22" s="9">
        <f>IFERROR(MIN(C22,D22)*E22/C22,0)</f>
        <v/>
      </c>
      <c r="G22" s="9" t="n"/>
    </row>
    <row r="23" ht="14.15" customHeight="1">
      <c r="A23" s="14" t="n">
        <v>8</v>
      </c>
      <c r="B23" s="8" t="inlineStr">
        <is>
          <t>Air pressure gauge</t>
        </is>
      </c>
      <c r="C23" s="9" t="n">
        <v>1</v>
      </c>
      <c r="D23" s="9" t="n">
        <v>0</v>
      </c>
      <c r="E23" s="9" t="n">
        <v>4</v>
      </c>
      <c r="F23" s="9">
        <f>IFERROR(MIN(C23,D23)*E23/C23,0)</f>
        <v/>
      </c>
      <c r="G23" s="9" t="n"/>
    </row>
    <row r="24" ht="14.15" customHeight="1">
      <c r="A24" s="14" t="n">
        <v>9</v>
      </c>
      <c r="B24" s="8" t="inlineStr">
        <is>
          <t>Filter opener set</t>
        </is>
      </c>
      <c r="C24" s="9" t="n">
        <v>5</v>
      </c>
      <c r="D24" s="9" t="n">
        <v>0</v>
      </c>
      <c r="E24" s="9" t="n">
        <v>3</v>
      </c>
      <c r="F24" s="9">
        <f>IFERROR(MIN(C24,D24)*E24/C24,0)</f>
        <v/>
      </c>
      <c r="G24" s="9" t="n"/>
    </row>
    <row r="25" ht="14.15" customHeight="1">
      <c r="A25" s="14" t="n">
        <v>10</v>
      </c>
      <c r="B25" s="8" t="inlineStr">
        <is>
          <t>Spanner set</t>
        </is>
      </c>
      <c r="C25" s="9" t="n">
        <v>5</v>
      </c>
      <c r="D25" s="9" t="n">
        <v>0</v>
      </c>
      <c r="E25" s="9" t="n">
        <v>4</v>
      </c>
      <c r="F25" s="9">
        <f>IFERROR(MIN(C25,D25)*E25/C25,0)</f>
        <v/>
      </c>
      <c r="G25" s="9" t="n"/>
    </row>
    <row r="26" ht="14.15" customHeight="1">
      <c r="A26" s="14" t="n">
        <v>11</v>
      </c>
      <c r="B26" s="8" t="inlineStr">
        <is>
          <t>Allen key set</t>
        </is>
      </c>
      <c r="C26" s="9" t="n">
        <v>5</v>
      </c>
      <c r="D26" s="9" t="n">
        <v>0</v>
      </c>
      <c r="E26" s="9" t="n">
        <v>3</v>
      </c>
      <c r="F26" s="9">
        <f>IFERROR(MIN(C26,D26)*E26/C26,0)</f>
        <v/>
      </c>
      <c r="G26" s="9" t="n"/>
    </row>
    <row r="27" ht="14.15" customHeight="1">
      <c r="A27" s="14" t="n">
        <v>12</v>
      </c>
      <c r="B27" s="8" t="inlineStr">
        <is>
          <t>Socket set</t>
        </is>
      </c>
      <c r="C27" s="9" t="n">
        <v>5</v>
      </c>
      <c r="D27" s="9" t="n">
        <v>0</v>
      </c>
      <c r="E27" s="9" t="n">
        <v>4</v>
      </c>
      <c r="F27" s="9">
        <f>IFERROR(MIN(C27,D27)*E27/C27,0)</f>
        <v/>
      </c>
      <c r="G27" s="9" t="n"/>
    </row>
    <row r="28" ht="14.15" customHeight="1">
      <c r="A28" s="14" t="n">
        <v>13</v>
      </c>
      <c r="B28" s="8" t="inlineStr">
        <is>
          <t>Screwdriver set</t>
        </is>
      </c>
      <c r="C28" s="9" t="n">
        <v>5</v>
      </c>
      <c r="D28" s="9" t="n">
        <v>0</v>
      </c>
      <c r="E28" s="9" t="n">
        <v>3</v>
      </c>
      <c r="F28" s="9">
        <f>IFERROR(MIN(C28,D28)*E28/C28,0)</f>
        <v/>
      </c>
      <c r="G28" s="9" t="n"/>
    </row>
    <row r="29" ht="14.15" customHeight="1">
      <c r="A29" s="14" t="n">
        <v>14</v>
      </c>
      <c r="B29" s="8" t="inlineStr">
        <is>
          <t>Pliers</t>
        </is>
      </c>
      <c r="C29" s="9" t="n">
        <v>5</v>
      </c>
      <c r="D29" s="9" t="n">
        <v>0</v>
      </c>
      <c r="E29" s="9" t="n">
        <v>3</v>
      </c>
      <c r="F29" s="9">
        <f>IFERROR(MIN(C29,D29)*E29/C29,0)</f>
        <v/>
      </c>
      <c r="G29" s="9" t="n"/>
    </row>
    <row r="30" ht="14.15" customHeight="1">
      <c r="A30" s="14" t="n">
        <v>15</v>
      </c>
      <c r="B30" s="8" t="inlineStr">
        <is>
          <t>Hammer</t>
        </is>
      </c>
      <c r="C30" s="9" t="n">
        <v>5</v>
      </c>
      <c r="D30" s="9" t="n">
        <v>0</v>
      </c>
      <c r="E30" s="9" t="n">
        <v>3</v>
      </c>
      <c r="F30" s="9">
        <f>IFERROR(MIN(C30,D30)*E30/C30,0)</f>
        <v/>
      </c>
      <c r="G30" s="9" t="n"/>
    </row>
    <row r="31" ht="14.15" customHeight="1">
      <c r="A31" s="14" t="n">
        <v>16</v>
      </c>
      <c r="B31" s="8" t="inlineStr">
        <is>
          <t>Torque wrench</t>
        </is>
      </c>
      <c r="C31" s="9" t="n">
        <v>5</v>
      </c>
      <c r="D31" s="9" t="n">
        <v>0</v>
      </c>
      <c r="E31" s="9" t="n">
        <v>5</v>
      </c>
      <c r="F31" s="9">
        <f>IFERROR(MIN(C31,D31)*E31/C31,0)</f>
        <v/>
      </c>
      <c r="G31" s="9" t="n"/>
    </row>
    <row r="32" ht="14.15" customHeight="1">
      <c r="A32" s="14" t="n">
        <v>17</v>
      </c>
      <c r="B32" s="8" t="inlineStr">
        <is>
          <t>Grease gun</t>
        </is>
      </c>
      <c r="C32" s="9" t="n">
        <v>5</v>
      </c>
      <c r="D32" s="9" t="n">
        <v>0</v>
      </c>
      <c r="E32" s="9" t="n">
        <v>4</v>
      </c>
      <c r="F32" s="9">
        <f>IFERROR(MIN(C32,D32)*E32/C32,0)</f>
        <v/>
      </c>
      <c r="G32" s="9" t="n"/>
    </row>
    <row r="33">
      <c r="A33" s="15" t="inlineStr">
        <is>
          <t>Sum</t>
        </is>
      </c>
      <c r="B33" s="11" t="n"/>
      <c r="C33" s="11" t="n"/>
      <c r="D33" s="12" t="n"/>
      <c r="E33" s="15">
        <f>SUM(E16:E32)</f>
        <v/>
      </c>
      <c r="F33" s="15">
        <f>SUM(F16:F32)</f>
        <v/>
      </c>
      <c r="G33" s="13" t="n"/>
    </row>
    <row r="34">
      <c r="A34" s="15" t="inlineStr">
        <is>
          <t>Score out of 100</t>
        </is>
      </c>
      <c r="B34" s="11" t="n"/>
      <c r="C34" s="11" t="n"/>
      <c r="D34" s="11" t="n"/>
      <c r="E34" s="12" t="n"/>
      <c r="F34" s="15">
        <f>F33/E33*100</f>
        <v/>
      </c>
      <c r="G34" s="13" t="n"/>
    </row>
    <row r="35" ht="9.75" customHeight="1"/>
    <row r="36">
      <c r="A36" s="15" t="inlineStr">
        <is>
          <t xml:space="preserve">Total achieved points out of 30  </t>
        </is>
      </c>
      <c r="B36" s="11" t="n"/>
      <c r="C36" s="11" t="n"/>
      <c r="D36" s="11" t="n"/>
      <c r="E36" s="12" t="n"/>
      <c r="F36" s="15">
        <f>F34*30/100</f>
        <v/>
      </c>
      <c r="G36" s="15"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Single Needle Lock Stitch Machine</t>
        </is>
      </c>
      <c r="C18" s="9" t="n">
        <v>30</v>
      </c>
      <c r="D18" s="9" t="n">
        <v>0</v>
      </c>
      <c r="E18" s="9" t="n">
        <v>10</v>
      </c>
      <c r="F18" s="9">
        <f>IFERROR(MIN(C18,D18)*E18/C18,0)</f>
        <v/>
      </c>
      <c r="G18" s="9" t="n"/>
    </row>
    <row r="19" ht="14.15" customHeight="1">
      <c r="A19" s="14" t="n">
        <v>4</v>
      </c>
      <c r="B19" s="8" t="inlineStr">
        <is>
          <t>Overlock Machine</t>
        </is>
      </c>
      <c r="C19" s="9" t="n">
        <v>5</v>
      </c>
      <c r="D19" s="9" t="n">
        <v>0</v>
      </c>
      <c r="E19" s="9" t="n">
        <v>9</v>
      </c>
      <c r="F19" s="9">
        <f>IFERROR(MIN(C19,D19)*E19/C19,0)</f>
        <v/>
      </c>
      <c r="G19" s="9" t="n"/>
    </row>
    <row r="20" ht="14.15" customHeight="1">
      <c r="A20" s="14" t="n">
        <v>5</v>
      </c>
      <c r="B20" s="8" t="inlineStr">
        <is>
          <t>Flat Lock Machine Operation</t>
        </is>
      </c>
      <c r="C20" s="9" t="n">
        <v>2</v>
      </c>
      <c r="D20" s="9" t="n">
        <v>0</v>
      </c>
      <c r="E20" s="9" t="n">
        <v>8</v>
      </c>
      <c r="F20" s="9">
        <f>IFERROR(MIN(C20,D20)*E20/C20,0)</f>
        <v/>
      </c>
      <c r="G20" s="9" t="n"/>
    </row>
    <row r="21" ht="14.15" customHeight="1">
      <c r="A21" s="14" t="n">
        <v>6</v>
      </c>
      <c r="B21" s="8" t="inlineStr">
        <is>
          <t>Double Needle Lock Stitch Machine</t>
        </is>
      </c>
      <c r="C21" s="9" t="n">
        <v>2</v>
      </c>
      <c r="D21" s="9" t="n">
        <v>0</v>
      </c>
      <c r="E21" s="9" t="n">
        <v>8</v>
      </c>
      <c r="F21" s="9">
        <f>IFERROR(MIN(C21,D21)*E21/C21,0)</f>
        <v/>
      </c>
      <c r="G21" s="9" t="n"/>
    </row>
    <row r="22" ht="14.15" customHeight="1">
      <c r="A22" s="14" t="n">
        <v>7</v>
      </c>
      <c r="B22" s="8" t="inlineStr">
        <is>
          <t>Feed of the Arm Machine</t>
        </is>
      </c>
      <c r="C22" s="9" t="n">
        <v>2</v>
      </c>
      <c r="D22" s="9" t="n">
        <v>0</v>
      </c>
      <c r="E22" s="9" t="n">
        <v>8</v>
      </c>
      <c r="F22" s="9">
        <f>IFERROR(MIN(C22,D22)*E22/C22,0)</f>
        <v/>
      </c>
      <c r="G22" s="9" t="n"/>
    </row>
    <row r="23" ht="14.15" customHeight="1">
      <c r="A23" s="14" t="n">
        <v>8</v>
      </c>
      <c r="B23" s="8" t="inlineStr">
        <is>
          <t>Multi Needle Chain Stitch Machine</t>
        </is>
      </c>
      <c r="C23" s="9" t="n">
        <v>3</v>
      </c>
      <c r="D23" s="9" t="n">
        <v>0</v>
      </c>
      <c r="E23" s="9" t="n">
        <v>8</v>
      </c>
      <c r="F23" s="9">
        <f>IFERROR(MIN(C23,D23)*E23/C23,0)</f>
        <v/>
      </c>
      <c r="G23" s="9" t="n"/>
    </row>
    <row r="24" ht="14.15" customHeight="1">
      <c r="A24" s="14" t="n">
        <v>9</v>
      </c>
      <c r="B24" s="8" t="inlineStr">
        <is>
          <t>Single Needle Chain Stitch Machine</t>
        </is>
      </c>
      <c r="C24" s="9" t="n">
        <v>2</v>
      </c>
      <c r="D24" s="9" t="n">
        <v>0</v>
      </c>
      <c r="E24" s="9" t="n">
        <v>8</v>
      </c>
      <c r="F24" s="9">
        <f>IFERROR(MIN(C24,D24)*E24/C24,0)</f>
        <v/>
      </c>
      <c r="G24" s="9" t="n"/>
    </row>
    <row r="25" ht="14.15" customHeight="1">
      <c r="A25" s="14" t="n">
        <v>10</v>
      </c>
      <c r="B25" s="8" t="inlineStr">
        <is>
          <t>Bar Tack Machine</t>
        </is>
      </c>
      <c r="C25" s="9" t="n">
        <v>2</v>
      </c>
      <c r="D25" s="9" t="n">
        <v>0</v>
      </c>
      <c r="E25" s="9" t="n">
        <v>7</v>
      </c>
      <c r="F25" s="9">
        <f>IFERROR(MIN(C25,D25)*E25/C25,0)</f>
        <v/>
      </c>
      <c r="G25" s="9" t="n"/>
    </row>
    <row r="26" ht="14.15" customHeight="1">
      <c r="A26" s="14" t="n">
        <v>11</v>
      </c>
      <c r="B26" s="8" t="inlineStr">
        <is>
          <t>Auto Pocket Welting (APW)</t>
        </is>
      </c>
      <c r="C26" s="9" t="n">
        <v>1</v>
      </c>
      <c r="D26" s="9" t="n">
        <v>0</v>
      </c>
      <c r="E26" s="9" t="n">
        <v>7</v>
      </c>
      <c r="F26" s="9">
        <f>IFERROR(MIN(C26,D26)*E26/C26,0)</f>
        <v/>
      </c>
      <c r="G26" s="9" t="n"/>
    </row>
    <row r="27" ht="14.15" customHeight="1">
      <c r="A27" s="14" t="n">
        <v>12</v>
      </c>
      <c r="B27" s="8" t="inlineStr">
        <is>
          <t>Quality check table (Min.  5 Feet)</t>
        </is>
      </c>
      <c r="C27" s="9" t="n">
        <v>2</v>
      </c>
      <c r="D27" s="9" t="n">
        <v>0</v>
      </c>
      <c r="E27" s="9" t="n">
        <v>5</v>
      </c>
      <c r="F27" s="9">
        <f>IFERROR(MIN(C27,D27)*E27/C27,0)</f>
        <v/>
      </c>
      <c r="G27" s="9" t="n"/>
    </row>
    <row r="28" ht="14.15" customHeight="1">
      <c r="A28" s="14" t="n">
        <v>13</v>
      </c>
      <c r="B28" s="8" t="inlineStr">
        <is>
          <t>Iron Set</t>
        </is>
      </c>
      <c r="C28" s="9" t="n">
        <v>2</v>
      </c>
      <c r="D28" s="9" t="n">
        <v>0</v>
      </c>
      <c r="E28" s="9" t="n">
        <v>5</v>
      </c>
      <c r="F28" s="9">
        <f>IFERROR(MIN(C28,D28)*E28/C28,0)</f>
        <v/>
      </c>
      <c r="G28" s="9" t="n"/>
    </row>
    <row r="29" ht="14.15" customHeight="1">
      <c r="A29" s="14" t="n">
        <v>14</v>
      </c>
      <c r="B29" s="8" t="inlineStr">
        <is>
          <t>Iron Table</t>
        </is>
      </c>
      <c r="C29" s="9" t="n">
        <v>2</v>
      </c>
      <c r="D29" s="9" t="n">
        <v>0</v>
      </c>
      <c r="E29" s="9" t="n">
        <v>5</v>
      </c>
      <c r="F29" s="9">
        <f>IFERROR(MIN(C29,D29)*E29/C29,0)</f>
        <v/>
      </c>
      <c r="G29" s="9" t="n"/>
    </row>
    <row r="30">
      <c r="A30" s="15" t="inlineStr">
        <is>
          <t>Sum</t>
        </is>
      </c>
      <c r="B30" s="11" t="n"/>
      <c r="C30" s="11" t="n"/>
      <c r="D30" s="12" t="n"/>
      <c r="E30" s="15">
        <f>SUM(E16:E29)</f>
        <v/>
      </c>
      <c r="F30" s="15">
        <f>SUM(F16:F29)</f>
        <v/>
      </c>
      <c r="G30" s="13" t="n"/>
    </row>
    <row r="31">
      <c r="A31" s="15" t="inlineStr">
        <is>
          <t>Score out of 100</t>
        </is>
      </c>
      <c r="B31" s="11" t="n"/>
      <c r="C31" s="11" t="n"/>
      <c r="D31" s="11" t="n"/>
      <c r="E31" s="12" t="n"/>
      <c r="F31" s="15">
        <f>F30/E30*100</f>
        <v/>
      </c>
      <c r="G31" s="13" t="n"/>
    </row>
    <row r="32" ht="9.75" customHeight="1"/>
    <row r="33">
      <c r="A33" s="15" t="inlineStr">
        <is>
          <t xml:space="preserve">Total achieved points out of 30  </t>
        </is>
      </c>
      <c r="B33" s="11" t="n"/>
      <c r="C33" s="11" t="n"/>
      <c r="D33" s="11" t="n"/>
      <c r="E33" s="12" t="n"/>
      <c r="F33" s="15">
        <f>F31*30/100</f>
        <v/>
      </c>
      <c r="G33" s="15"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Heavy Equipment Operation (Crane and Forklift)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Heavy Equipment Operation (Crane and Forklift)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Heavy Equipment Operation (Crane and Forklift),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Crane</t>
        </is>
      </c>
      <c r="C18" s="9" t="n">
        <v>1</v>
      </c>
      <c r="D18" s="9" t="n">
        <v>0</v>
      </c>
      <c r="E18" s="9" t="n">
        <v>10</v>
      </c>
      <c r="F18" s="9">
        <f>IFERROR(MIN(C18,D18)*E18/C18,0)</f>
        <v/>
      </c>
      <c r="G18" s="9" t="n"/>
    </row>
    <row r="19" ht="14.15" customHeight="1">
      <c r="A19" s="14" t="n">
        <v>4</v>
      </c>
      <c r="B19" s="8" t="inlineStr">
        <is>
          <t>Crane attachments (clamp shell bucket)</t>
        </is>
      </c>
      <c r="C19" s="9" t="n">
        <v>1</v>
      </c>
      <c r="D19" s="9" t="n">
        <v>0</v>
      </c>
      <c r="E19" s="9" t="n">
        <v>7</v>
      </c>
      <c r="F19" s="9">
        <f>IFERROR(MIN(C19,D19)*E19/C19,0)</f>
        <v/>
      </c>
      <c r="G19" s="9" t="n"/>
    </row>
    <row r="20" ht="14.15" customHeight="1">
      <c r="A20" s="14" t="n">
        <v>5</v>
      </c>
      <c r="B20" s="8" t="inlineStr">
        <is>
          <t>Forklift</t>
        </is>
      </c>
      <c r="C20" s="9" t="n">
        <v>1</v>
      </c>
      <c r="D20" s="9" t="n">
        <v>0</v>
      </c>
      <c r="E20" s="9" t="n">
        <v>10</v>
      </c>
      <c r="F20" s="9">
        <f>IFERROR(MIN(C20,D20)*E20/C20,0)</f>
        <v/>
      </c>
      <c r="G20" s="9" t="n"/>
    </row>
    <row r="21" ht="14.15" customHeight="1">
      <c r="A21" s="14" t="n">
        <v>6</v>
      </c>
      <c r="B21" s="8" t="inlineStr">
        <is>
          <t>Forklift Attachments (carton clamp)</t>
        </is>
      </c>
      <c r="C21" s="9" t="n">
        <v>1</v>
      </c>
      <c r="D21" s="9" t="n">
        <v>0</v>
      </c>
      <c r="E21" s="9" t="n">
        <v>7</v>
      </c>
      <c r="F21" s="9">
        <f>IFERROR(MIN(C21,D21)*E21/C21,0)</f>
        <v/>
      </c>
      <c r="G21" s="9" t="n"/>
    </row>
    <row r="22" ht="14.15" customHeight="1">
      <c r="A22" s="14" t="n">
        <v>7</v>
      </c>
      <c r="B22" s="8" t="inlineStr">
        <is>
          <t>Blower</t>
        </is>
      </c>
      <c r="C22" s="9" t="n">
        <v>2</v>
      </c>
      <c r="D22" s="9" t="n">
        <v>0</v>
      </c>
      <c r="E22" s="9" t="n">
        <v>4</v>
      </c>
      <c r="F22" s="9">
        <f>IFERROR(MIN(C22,D22)*E22/C22,0)</f>
        <v/>
      </c>
      <c r="G22" s="9" t="n"/>
    </row>
    <row r="23" ht="14.15" customHeight="1">
      <c r="A23" s="14" t="n">
        <v>8</v>
      </c>
      <c r="B23" s="8" t="inlineStr">
        <is>
          <t>Air Compressor</t>
        </is>
      </c>
      <c r="C23" s="9" t="n">
        <v>2</v>
      </c>
      <c r="D23" s="9" t="n">
        <v>0</v>
      </c>
      <c r="E23" s="9" t="n">
        <v>6</v>
      </c>
      <c r="F23" s="9">
        <f>IFERROR(MIN(C23,D23)*E23/C23,0)</f>
        <v/>
      </c>
      <c r="G23" s="9" t="n"/>
    </row>
    <row r="24" ht="14.15" customHeight="1">
      <c r="A24" s="14" t="n">
        <v>9</v>
      </c>
      <c r="B24" s="8" t="inlineStr">
        <is>
          <t>Air pressure gauge</t>
        </is>
      </c>
      <c r="C24" s="9" t="n">
        <v>1</v>
      </c>
      <c r="D24" s="9" t="n">
        <v>0</v>
      </c>
      <c r="E24" s="9" t="n">
        <v>4</v>
      </c>
      <c r="F24" s="9">
        <f>IFERROR(MIN(C24,D24)*E24/C24,0)</f>
        <v/>
      </c>
      <c r="G24" s="9" t="n"/>
    </row>
    <row r="25" ht="14.15" customHeight="1">
      <c r="A25" s="14" t="n">
        <v>10</v>
      </c>
      <c r="B25" s="8" t="inlineStr">
        <is>
          <t>Spanner set</t>
        </is>
      </c>
      <c r="C25" s="9" t="n">
        <v>5</v>
      </c>
      <c r="D25" s="9" t="n">
        <v>0</v>
      </c>
      <c r="E25" s="9" t="n">
        <v>4</v>
      </c>
      <c r="F25" s="9">
        <f>IFERROR(MIN(C25,D25)*E25/C25,0)</f>
        <v/>
      </c>
      <c r="G25" s="9" t="n"/>
    </row>
    <row r="26" ht="14.15" customHeight="1">
      <c r="A26" s="14" t="n">
        <v>11</v>
      </c>
      <c r="B26" s="8" t="inlineStr">
        <is>
          <t>Filter opener set</t>
        </is>
      </c>
      <c r="C26" s="9" t="n">
        <v>5</v>
      </c>
      <c r="D26" s="9" t="n">
        <v>0</v>
      </c>
      <c r="E26" s="9" t="n">
        <v>3</v>
      </c>
      <c r="F26" s="9">
        <f>IFERROR(MIN(C26,D26)*E26/C26,0)</f>
        <v/>
      </c>
      <c r="G26" s="9" t="n"/>
    </row>
    <row r="27" ht="14.15" customHeight="1">
      <c r="A27" s="14" t="n">
        <v>12</v>
      </c>
      <c r="B27" s="8" t="inlineStr">
        <is>
          <t>Allen key set</t>
        </is>
      </c>
      <c r="C27" s="9" t="n">
        <v>5</v>
      </c>
      <c r="D27" s="9" t="n">
        <v>0</v>
      </c>
      <c r="E27" s="9" t="n">
        <v>3</v>
      </c>
      <c r="F27" s="9">
        <f>IFERROR(MIN(C27,D27)*E27/C27,0)</f>
        <v/>
      </c>
      <c r="G27" s="9" t="n"/>
    </row>
    <row r="28" ht="14.15" customHeight="1">
      <c r="A28" s="14" t="n">
        <v>13</v>
      </c>
      <c r="B28" s="8" t="inlineStr">
        <is>
          <t>Socket set</t>
        </is>
      </c>
      <c r="C28" s="9" t="n">
        <v>5</v>
      </c>
      <c r="D28" s="9" t="n">
        <v>0</v>
      </c>
      <c r="E28" s="9" t="n">
        <v>4</v>
      </c>
      <c r="F28" s="9">
        <f>IFERROR(MIN(C28,D28)*E28/C28,0)</f>
        <v/>
      </c>
      <c r="G28" s="9" t="n"/>
    </row>
    <row r="29" ht="14.15" customHeight="1">
      <c r="A29" s="14" t="n">
        <v>14</v>
      </c>
      <c r="B29" s="8" t="inlineStr">
        <is>
          <t>Screwdriver set</t>
        </is>
      </c>
      <c r="C29" s="9" t="n">
        <v>5</v>
      </c>
      <c r="D29" s="9" t="n">
        <v>0</v>
      </c>
      <c r="E29" s="9" t="n">
        <v>3</v>
      </c>
      <c r="F29" s="9">
        <f>IFERROR(MIN(C29,D29)*E29/C29,0)</f>
        <v/>
      </c>
      <c r="G29" s="9" t="n"/>
    </row>
    <row r="30" ht="14.15" customHeight="1">
      <c r="A30" s="14" t="n">
        <v>15</v>
      </c>
      <c r="B30" s="8" t="inlineStr">
        <is>
          <t>Pliers</t>
        </is>
      </c>
      <c r="C30" s="9" t="n">
        <v>5</v>
      </c>
      <c r="D30" s="9" t="n">
        <v>0</v>
      </c>
      <c r="E30" s="9" t="n">
        <v>3</v>
      </c>
      <c r="F30" s="9">
        <f>IFERROR(MIN(C30,D30)*E30/C30,0)</f>
        <v/>
      </c>
      <c r="G30" s="9" t="n"/>
    </row>
    <row r="31" ht="14.15" customHeight="1">
      <c r="A31" s="14" t="n">
        <v>16</v>
      </c>
      <c r="B31" s="8" t="inlineStr">
        <is>
          <t>Hammer</t>
        </is>
      </c>
      <c r="C31" s="9" t="n">
        <v>5</v>
      </c>
      <c r="D31" s="9" t="n">
        <v>0</v>
      </c>
      <c r="E31" s="9" t="n">
        <v>3</v>
      </c>
      <c r="F31" s="9">
        <f>IFERROR(MIN(C31,D31)*E31/C31,0)</f>
        <v/>
      </c>
      <c r="G31" s="9" t="n"/>
    </row>
    <row r="32" ht="14.15" customHeight="1">
      <c r="A32" s="14" t="n">
        <v>17</v>
      </c>
      <c r="B32" s="8" t="inlineStr">
        <is>
          <t>Hydraulic jack (crane and forklift)</t>
        </is>
      </c>
      <c r="C32" s="9" t="n">
        <v>2</v>
      </c>
      <c r="D32" s="9" t="n">
        <v>0</v>
      </c>
      <c r="E32" s="9" t="n">
        <v>6</v>
      </c>
      <c r="F32" s="9">
        <f>IFERROR(MIN(C32,D32)*E32/C32,0)</f>
        <v/>
      </c>
      <c r="G32" s="9" t="n"/>
    </row>
    <row r="33" ht="14.15" customHeight="1">
      <c r="A33" s="14" t="n">
        <v>18</v>
      </c>
      <c r="B33" s="8" t="inlineStr">
        <is>
          <t>Torque wrench</t>
        </is>
      </c>
      <c r="C33" s="9" t="n">
        <v>5</v>
      </c>
      <c r="D33" s="9" t="n">
        <v>0</v>
      </c>
      <c r="E33" s="9" t="n">
        <v>5</v>
      </c>
      <c r="F33" s="9">
        <f>IFERROR(MIN(C33,D33)*E33/C33,0)</f>
        <v/>
      </c>
      <c r="G33" s="9" t="n"/>
    </row>
    <row r="34" ht="14.15" customHeight="1">
      <c r="A34" s="14" t="n">
        <v>19</v>
      </c>
      <c r="B34" s="8" t="inlineStr">
        <is>
          <t>Grease gun</t>
        </is>
      </c>
      <c r="C34" s="9" t="n">
        <v>5</v>
      </c>
      <c r="D34" s="9" t="n">
        <v>0</v>
      </c>
      <c r="E34" s="9" t="n">
        <v>4</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Welding (4G,5G and 6G)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Welding (4G,5G and 6G)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Welding (4G,5G and 6G),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AC/DC Arc welding machine</t>
        </is>
      </c>
      <c r="C19" s="9" t="n">
        <v>10</v>
      </c>
      <c r="D19" s="9" t="n">
        <v>0</v>
      </c>
      <c r="E19" s="9" t="n">
        <v>9</v>
      </c>
      <c r="F19" s="9">
        <f>IFERROR(MIN(C19,D19)*E19/C19,0)</f>
        <v/>
      </c>
      <c r="G19" s="9" t="n"/>
    </row>
    <row r="20" ht="14.15" customHeight="1">
      <c r="A20" s="14" t="n">
        <v>5</v>
      </c>
      <c r="B20" s="8" t="inlineStr">
        <is>
          <t>Gas welding set</t>
        </is>
      </c>
      <c r="C20" s="9" t="n">
        <v>3</v>
      </c>
      <c r="D20" s="9" t="n">
        <v>0</v>
      </c>
      <c r="E20" s="9" t="n">
        <v>8</v>
      </c>
      <c r="F20" s="9">
        <f>IFERROR(MIN(C20,D20)*E20/C20,0)</f>
        <v/>
      </c>
      <c r="G20" s="9" t="n"/>
    </row>
    <row r="21" ht="14.15" customHeight="1">
      <c r="A21" s="14" t="n">
        <v>6</v>
      </c>
      <c r="B21" s="8" t="inlineStr">
        <is>
          <t>MIG welding machine</t>
        </is>
      </c>
      <c r="C21" s="9" t="n">
        <v>2</v>
      </c>
      <c r="D21" s="9" t="n">
        <v>0</v>
      </c>
      <c r="E21" s="9" t="n">
        <v>9</v>
      </c>
      <c r="F21" s="9">
        <f>IFERROR(MIN(C21,D21)*E21/C21,0)</f>
        <v/>
      </c>
      <c r="G21" s="9" t="n"/>
    </row>
    <row r="22" ht="14.15" customHeight="1">
      <c r="A22" s="14" t="n">
        <v>7</v>
      </c>
      <c r="B22" s="8" t="inlineStr">
        <is>
          <t>TIG welding machine</t>
        </is>
      </c>
      <c r="C22" s="9" t="n">
        <v>2</v>
      </c>
      <c r="D22" s="9" t="n">
        <v>0</v>
      </c>
      <c r="E22" s="9" t="n">
        <v>9</v>
      </c>
      <c r="F22" s="9">
        <f>IFERROR(MIN(C22,D22)*E22/C22,0)</f>
        <v/>
      </c>
      <c r="G22" s="9" t="n"/>
    </row>
    <row r="23" ht="14.15" customHeight="1">
      <c r="A23" s="14" t="n">
        <v>8</v>
      </c>
      <c r="B23" s="8" t="inlineStr">
        <is>
          <t>Gas cutting set</t>
        </is>
      </c>
      <c r="C23" s="9" t="n">
        <v>3</v>
      </c>
      <c r="D23" s="9" t="n">
        <v>0</v>
      </c>
      <c r="E23" s="9" t="n">
        <v>8</v>
      </c>
      <c r="F23" s="9">
        <f>IFERROR(MIN(C23,D23)*E23/C23,0)</f>
        <v/>
      </c>
      <c r="G23" s="9" t="n"/>
    </row>
    <row r="24" ht="14.15" customHeight="1">
      <c r="A24" s="14" t="n">
        <v>9</v>
      </c>
      <c r="B24" s="8" t="inlineStr">
        <is>
          <t>Spare cylinder set (Argon, oxygen and acetylene)</t>
        </is>
      </c>
      <c r="C24" s="9" t="n">
        <v>1</v>
      </c>
      <c r="D24" s="9" t="n">
        <v>0</v>
      </c>
      <c r="E24" s="9" t="n">
        <v>6</v>
      </c>
      <c r="F24" s="9">
        <f>IFERROR(MIN(C24,D24)*E24/C24,0)</f>
        <v/>
      </c>
      <c r="G24" s="9" t="n"/>
    </row>
    <row r="25" ht="14.15" customHeight="1">
      <c r="A25" s="14" t="n">
        <v>10</v>
      </c>
      <c r="B25" s="8" t="inlineStr">
        <is>
          <t>Power grinding machine</t>
        </is>
      </c>
      <c r="C25" s="9" t="n">
        <v>5</v>
      </c>
      <c r="D25" s="9" t="n">
        <v>0</v>
      </c>
      <c r="E25" s="9" t="n">
        <v>6</v>
      </c>
      <c r="F25" s="9">
        <f>IFERROR(MIN(C25,D25)*E25/C25,0)</f>
        <v/>
      </c>
      <c r="G25" s="9" t="n"/>
    </row>
    <row r="26" ht="14.15" customHeight="1">
      <c r="A26" s="14" t="n">
        <v>11</v>
      </c>
      <c r="B26" s="8" t="inlineStr">
        <is>
          <t>Hand grinding machine</t>
        </is>
      </c>
      <c r="C26" s="9" t="n">
        <v>10</v>
      </c>
      <c r="D26" s="9" t="n">
        <v>0</v>
      </c>
      <c r="E26" s="9" t="n">
        <v>6</v>
      </c>
      <c r="F26" s="9">
        <f>IFERROR(MIN(C26,D26)*E26/C26,0)</f>
        <v/>
      </c>
      <c r="G26" s="9" t="n"/>
    </row>
    <row r="27" ht="14.15" customHeight="1">
      <c r="A27" s="14" t="n">
        <v>12</v>
      </c>
      <c r="B27" s="8" t="inlineStr">
        <is>
          <t>Bench vice</t>
        </is>
      </c>
      <c r="C27" s="9" t="n">
        <v>10</v>
      </c>
      <c r="D27" s="9" t="n">
        <v>0</v>
      </c>
      <c r="E27" s="9" t="n">
        <v>5</v>
      </c>
      <c r="F27" s="9">
        <f>IFERROR(MIN(C27,D27)*E27/C27,0)</f>
        <v/>
      </c>
      <c r="G27" s="9" t="n"/>
    </row>
    <row r="28" ht="14.15" customHeight="1">
      <c r="A28" s="14" t="n">
        <v>13</v>
      </c>
      <c r="B28" s="8" t="inlineStr">
        <is>
          <t>Tool box set for welding workshop</t>
        </is>
      </c>
      <c r="C28" s="9" t="n">
        <v>10</v>
      </c>
      <c r="D28" s="9" t="n">
        <v>0</v>
      </c>
      <c r="E28" s="9" t="n">
        <v>5</v>
      </c>
      <c r="F28" s="9">
        <f>IFERROR(MIN(C28,D28)*E28/C28,0)</f>
        <v/>
      </c>
      <c r="G28" s="9" t="n"/>
    </row>
    <row r="29" ht="14.15" customHeight="1">
      <c r="A29" s="14" t="n">
        <v>14</v>
      </c>
      <c r="B29" s="8" t="inlineStr">
        <is>
          <t>Fire extinguisher</t>
        </is>
      </c>
      <c r="C29" s="9" t="n">
        <v>4</v>
      </c>
      <c r="D29" s="9" t="n">
        <v>0</v>
      </c>
      <c r="E29" s="9" t="n">
        <v>4</v>
      </c>
      <c r="F29" s="9">
        <f>IFERROR(MIN(C29,D29)*E29/C29,0)</f>
        <v/>
      </c>
      <c r="G29" s="9" t="n"/>
    </row>
    <row r="30" ht="14.15" customHeight="1">
      <c r="A30" s="14" t="n">
        <v>15</v>
      </c>
      <c r="B30" s="8" t="inlineStr">
        <is>
          <t>Welding booth with exhaust system</t>
        </is>
      </c>
      <c r="C30" s="9" t="n">
        <v>10</v>
      </c>
      <c r="D30" s="9" t="n">
        <v>0</v>
      </c>
      <c r="E30" s="9" t="n">
        <v>7</v>
      </c>
      <c r="F30" s="9">
        <f>IFERROR(MIN(C30,D30)*E30/C30,0)</f>
        <v/>
      </c>
      <c r="G30" s="9" t="n"/>
    </row>
    <row r="31" ht="14.15" customHeight="1">
      <c r="A31" s="14" t="n">
        <v>16</v>
      </c>
      <c r="B31" s="8" t="inlineStr">
        <is>
          <t>First aid box</t>
        </is>
      </c>
      <c r="C31" s="9" t="n">
        <v>3</v>
      </c>
      <c r="D31" s="9" t="n">
        <v>0</v>
      </c>
      <c r="E31" s="9" t="n">
        <v>3</v>
      </c>
      <c r="F31" s="9">
        <f>IFERROR(MIN(C31,D31)*E31/C31,0)</f>
        <v/>
      </c>
      <c r="G31" s="9" t="n"/>
    </row>
    <row r="32">
      <c r="A32" s="15" t="inlineStr">
        <is>
          <t>Sum</t>
        </is>
      </c>
      <c r="B32" s="11" t="n"/>
      <c r="C32" s="11" t="n"/>
      <c r="D32" s="12" t="n"/>
      <c r="E32" s="15">
        <f>SUM(E16:E31)</f>
        <v/>
      </c>
      <c r="F32" s="15">
        <f>SUM(F16:F31)</f>
        <v/>
      </c>
      <c r="G32" s="13" t="n"/>
    </row>
    <row r="33">
      <c r="A33" s="15" t="inlineStr">
        <is>
          <t>Score out of 100</t>
        </is>
      </c>
      <c r="B33" s="11" t="n"/>
      <c r="C33" s="11" t="n"/>
      <c r="D33" s="11" t="n"/>
      <c r="E33" s="12" t="n"/>
      <c r="F33" s="15">
        <f>F32/E32*100</f>
        <v/>
      </c>
      <c r="G33" s="13" t="n"/>
    </row>
    <row r="34" ht="9.75" customHeight="1"/>
    <row r="35">
      <c r="A35" s="15" t="inlineStr">
        <is>
          <t xml:space="preserve">Total achieved points out of 30  </t>
        </is>
      </c>
      <c r="B35" s="11" t="n"/>
      <c r="C35" s="11" t="n"/>
      <c r="D35" s="11" t="n"/>
      <c r="E35" s="12" t="n"/>
      <c r="F35" s="15">
        <f>F33*30/100</f>
        <v/>
      </c>
      <c r="G35" s="15"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Beautification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Beautification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Beautification,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 with screen</t>
        </is>
      </c>
      <c r="C17" s="9" t="n">
        <v>1</v>
      </c>
      <c r="D17" s="9" t="n">
        <v>0</v>
      </c>
      <c r="E17" s="9" t="n">
        <v>5</v>
      </c>
      <c r="F17" s="9">
        <f>IFERROR(MIN(C17,D17)*E17/C17,0)</f>
        <v/>
      </c>
      <c r="G17" s="9" t="n"/>
    </row>
    <row r="18" ht="14.15" customHeight="1">
      <c r="A18" s="14" t="n">
        <v>3</v>
      </c>
      <c r="B18" s="8" t="inlineStr">
        <is>
          <t>Internet connectivity</t>
        </is>
      </c>
      <c r="C18" s="9" t="n">
        <v>1</v>
      </c>
      <c r="D18" s="9" t="n">
        <v>0</v>
      </c>
      <c r="E18" s="9" t="n">
        <v>5</v>
      </c>
      <c r="F18" s="9">
        <f>IFERROR(MIN(C18,D18)*E18/C18,0)</f>
        <v/>
      </c>
      <c r="G18" s="9" t="n"/>
    </row>
    <row r="19" ht="14.15" customHeight="1">
      <c r="A19" s="14" t="n">
        <v>4</v>
      </c>
      <c r="B19" s="8" t="inlineStr">
        <is>
          <t>Hair cutting chair</t>
        </is>
      </c>
      <c r="C19" s="9" t="n">
        <v>5</v>
      </c>
      <c r="D19" s="9" t="n">
        <v>0</v>
      </c>
      <c r="E19" s="9" t="n">
        <v>8</v>
      </c>
      <c r="F19" s="9">
        <f>IFERROR(MIN(C19,D19)*E19/C19,0)</f>
        <v/>
      </c>
      <c r="G19" s="9" t="n"/>
    </row>
    <row r="20" ht="14.15" customHeight="1">
      <c r="A20" s="14" t="n">
        <v>5</v>
      </c>
      <c r="B20" s="8" t="inlineStr">
        <is>
          <t>Facial bed</t>
        </is>
      </c>
      <c r="C20" s="9" t="n">
        <v>5</v>
      </c>
      <c r="D20" s="9" t="n">
        <v>0</v>
      </c>
      <c r="E20" s="9" t="n">
        <v>8</v>
      </c>
      <c r="F20" s="9">
        <f>IFERROR(MIN(C20,D20)*E20/C20,0)</f>
        <v/>
      </c>
      <c r="G20" s="9" t="n"/>
    </row>
    <row r="21" ht="14.15" customHeight="1">
      <c r="A21" s="14" t="n">
        <v>6</v>
      </c>
      <c r="B21" s="8" t="inlineStr">
        <is>
          <t>Manicure and pedicure table</t>
        </is>
      </c>
      <c r="C21" s="9" t="n">
        <v>5</v>
      </c>
      <c r="D21" s="9" t="n">
        <v>0</v>
      </c>
      <c r="E21" s="9" t="n">
        <v>8</v>
      </c>
      <c r="F21" s="9">
        <f>IFERROR(MIN(C21,D21)*E21/C21,0)</f>
        <v/>
      </c>
      <c r="G21" s="9" t="n"/>
    </row>
    <row r="22" ht="14.15" customHeight="1">
      <c r="A22" s="14" t="n">
        <v>7</v>
      </c>
      <c r="B22" s="8" t="inlineStr">
        <is>
          <t>Threading chair</t>
        </is>
      </c>
      <c r="C22" s="9" t="n">
        <v>5</v>
      </c>
      <c r="D22" s="9" t="n">
        <v>0</v>
      </c>
      <c r="E22" s="9" t="n">
        <v>7</v>
      </c>
      <c r="F22" s="9">
        <f>IFERROR(MIN(C22,D22)*E22/C22,0)</f>
        <v/>
      </c>
      <c r="G22" s="9" t="n"/>
    </row>
    <row r="23" ht="14.15" customHeight="1">
      <c r="A23" s="14" t="n">
        <v>8</v>
      </c>
      <c r="B23" s="8" t="inlineStr">
        <is>
          <t>Shampoo bed</t>
        </is>
      </c>
      <c r="C23" s="9" t="n">
        <v>2</v>
      </c>
      <c r="D23" s="9" t="n">
        <v>0</v>
      </c>
      <c r="E23" s="9" t="n">
        <v>7</v>
      </c>
      <c r="F23" s="9">
        <f>IFERROR(MIN(C23,D23)*E23/C23,0)</f>
        <v/>
      </c>
      <c r="G23" s="9" t="n"/>
    </row>
    <row r="24" ht="14.15" customHeight="1">
      <c r="A24" s="14" t="n">
        <v>9</v>
      </c>
      <c r="B24" s="8" t="inlineStr">
        <is>
          <t>Steam machine (face)</t>
        </is>
      </c>
      <c r="C24" s="9" t="n">
        <v>5</v>
      </c>
      <c r="D24" s="9" t="n">
        <v>0</v>
      </c>
      <c r="E24" s="9" t="n">
        <v>8</v>
      </c>
      <c r="F24" s="9">
        <f>IFERROR(MIN(C24,D24)*E24/C24,0)</f>
        <v/>
      </c>
      <c r="G24" s="9" t="n"/>
    </row>
    <row r="25" ht="14.15" customHeight="1">
      <c r="A25" s="14" t="n">
        <v>10</v>
      </c>
      <c r="B25" s="8" t="inlineStr">
        <is>
          <t>Steam machine (hair)</t>
        </is>
      </c>
      <c r="C25" s="9" t="n">
        <v>2</v>
      </c>
      <c r="D25" s="9" t="n">
        <v>0</v>
      </c>
      <c r="E25" s="9" t="n">
        <v>8</v>
      </c>
      <c r="F25" s="9">
        <f>IFERROR(MIN(C25,D25)*E25/C25,0)</f>
        <v/>
      </c>
      <c r="G25" s="9" t="n"/>
    </row>
    <row r="26" ht="14.15" customHeight="1">
      <c r="A26" s="14" t="n">
        <v>11</v>
      </c>
      <c r="B26" s="8" t="inlineStr">
        <is>
          <t>Hair dryer</t>
        </is>
      </c>
      <c r="C26" s="9" t="n">
        <v>5</v>
      </c>
      <c r="D26" s="9" t="n">
        <v>0</v>
      </c>
      <c r="E26" s="9" t="n">
        <v>7</v>
      </c>
      <c r="F26" s="9">
        <f>IFERROR(MIN(C26,D26)*E26/C26,0)</f>
        <v/>
      </c>
      <c r="G26" s="9" t="n"/>
    </row>
    <row r="27" ht="14.15" customHeight="1">
      <c r="A27" s="14" t="n">
        <v>12</v>
      </c>
      <c r="B27" s="8" t="inlineStr">
        <is>
          <t>Hair straightener</t>
        </is>
      </c>
      <c r="C27" s="9" t="n">
        <v>5</v>
      </c>
      <c r="D27" s="9" t="n">
        <v>0</v>
      </c>
      <c r="E27" s="9" t="n">
        <v>7</v>
      </c>
      <c r="F27" s="9">
        <f>IFERROR(MIN(C27,D27)*E27/C27,0)</f>
        <v/>
      </c>
      <c r="G27" s="9" t="n"/>
    </row>
    <row r="28" ht="14.15" customHeight="1">
      <c r="A28" s="14" t="n">
        <v>13</v>
      </c>
      <c r="B28" s="8" t="inlineStr">
        <is>
          <t>Curl/tong</t>
        </is>
      </c>
      <c r="C28" s="9" t="n">
        <v>5</v>
      </c>
      <c r="D28" s="9" t="n">
        <v>0</v>
      </c>
      <c r="E28" s="9" t="n">
        <v>6</v>
      </c>
      <c r="F28" s="9">
        <f>IFERROR(MIN(C28,D28)*E28/C28,0)</f>
        <v/>
      </c>
      <c r="G28" s="9" t="n"/>
    </row>
    <row r="29" ht="14.15" customHeight="1">
      <c r="A29" s="14" t="n">
        <v>14</v>
      </c>
      <c r="B29" s="8" t="inlineStr">
        <is>
          <t>Scissors</t>
        </is>
      </c>
      <c r="C29" s="9" t="n">
        <v>25</v>
      </c>
      <c r="D29" s="9" t="n">
        <v>0</v>
      </c>
      <c r="E29" s="9" t="n">
        <v>4</v>
      </c>
      <c r="F29" s="9">
        <f>IFERROR(MIN(C29,D29)*E29/C29,0)</f>
        <v/>
      </c>
      <c r="G29" s="9" t="n"/>
    </row>
    <row r="30" ht="14.15" customHeight="1">
      <c r="A30" s="14" t="n">
        <v>15</v>
      </c>
      <c r="B30" s="8" t="inlineStr">
        <is>
          <t>Crimper</t>
        </is>
      </c>
      <c r="C30" s="9" t="n">
        <v>2</v>
      </c>
      <c r="D30" s="9" t="n">
        <v>0</v>
      </c>
      <c r="E30" s="9" t="n">
        <v>6</v>
      </c>
      <c r="F30" s="9">
        <f>IFERROR(MIN(C30,D30)*E30/C30,0)</f>
        <v/>
      </c>
      <c r="G30" s="9" t="n"/>
    </row>
    <row r="31" ht="14.15" customHeight="1">
      <c r="A31" s="14" t="n">
        <v>16</v>
      </c>
      <c r="B31" s="8" t="inlineStr">
        <is>
          <t>Facial machine (3 in one)</t>
        </is>
      </c>
      <c r="C31" s="9" t="n">
        <v>2</v>
      </c>
      <c r="D31" s="9" t="n">
        <v>0</v>
      </c>
      <c r="E31" s="9" t="n">
        <v>9</v>
      </c>
      <c r="F31" s="9">
        <f>IFERROR(MIN(C31,D31)*E31/C31,0)</f>
        <v/>
      </c>
      <c r="G31" s="9" t="n"/>
    </row>
    <row r="32" ht="14.15" customHeight="1">
      <c r="A32" s="14" t="n">
        <v>17</v>
      </c>
      <c r="B32" s="8" t="inlineStr">
        <is>
          <t>Wax heater</t>
        </is>
      </c>
      <c r="C32" s="9" t="n">
        <v>5</v>
      </c>
      <c r="D32" s="9" t="n">
        <v>0</v>
      </c>
      <c r="E32" s="9" t="n">
        <v>7</v>
      </c>
      <c r="F32" s="9">
        <f>IFERROR(MIN(C32,D32)*E32/C32,0)</f>
        <v/>
      </c>
      <c r="G32" s="9" t="n"/>
    </row>
    <row r="33" ht="14.15" customHeight="1">
      <c r="A33" s="14" t="n">
        <v>18</v>
      </c>
      <c r="B33" s="8" t="inlineStr">
        <is>
          <t>Piercing gun</t>
        </is>
      </c>
      <c r="C33" s="9" t="n">
        <v>2</v>
      </c>
      <c r="D33" s="9" t="n">
        <v>0</v>
      </c>
      <c r="E33" s="9" t="n">
        <v>6</v>
      </c>
      <c r="F33" s="9">
        <f>IFERROR(MIN(C33,D33)*E33/C33,0)</f>
        <v/>
      </c>
      <c r="G33" s="9" t="n"/>
    </row>
    <row r="34">
      <c r="A34" s="15" t="inlineStr">
        <is>
          <t>Sum</t>
        </is>
      </c>
      <c r="B34" s="11" t="n"/>
      <c r="C34" s="11" t="n"/>
      <c r="D34" s="12" t="n"/>
      <c r="E34" s="15">
        <f>SUM(E16:E33)</f>
        <v/>
      </c>
      <c r="F34" s="15">
        <f>SUM(F16:F33)</f>
        <v/>
      </c>
      <c r="G34" s="13" t="n"/>
    </row>
    <row r="35">
      <c r="A35" s="15" t="inlineStr">
        <is>
          <t>Score out of 100</t>
        </is>
      </c>
      <c r="B35" s="11" t="n"/>
      <c r="C35" s="11" t="n"/>
      <c r="D35" s="11" t="n"/>
      <c r="E35" s="12" t="n"/>
      <c r="F35" s="15">
        <f>F34/E34*100</f>
        <v/>
      </c>
      <c r="G35" s="13" t="n"/>
    </row>
    <row r="36" ht="9.75" customHeight="1"/>
    <row r="37">
      <c r="A37" s="15" t="inlineStr">
        <is>
          <t xml:space="preserve">Total achieved points out of 30  </t>
        </is>
      </c>
      <c r="B37" s="11" t="n"/>
      <c r="C37" s="11" t="n"/>
      <c r="D37" s="11" t="n"/>
      <c r="E37" s="12" t="n"/>
      <c r="F37" s="15">
        <f>F35*30/100</f>
        <v/>
      </c>
      <c r="G37" s="15"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CAD CAM Design and CNC 
Machine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CAD CAM Design and CNC 
Machine Operation</t>
        </is>
      </c>
      <c r="C8" s="4" t="inlineStr">
        <is>
          <t>Computer Lab		: 400 sft
Workshop		: 700-800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CAD CAM Design and CNC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Workstation Computer with CAD and CAM Software</t>
        </is>
      </c>
      <c r="C16" s="9" t="n">
        <v>26</v>
      </c>
      <c r="D16" s="9" t="n">
        <v>0</v>
      </c>
      <c r="E16" s="9" t="n">
        <v>9</v>
      </c>
      <c r="F16" s="9">
        <f>IFERROR(MIN(C16,D16)*E16/C16,0)</f>
        <v/>
      </c>
      <c r="G16" s="9" t="n"/>
    </row>
    <row r="17" ht="14.15" customHeight="1">
      <c r="A17" s="14" t="n">
        <v>2</v>
      </c>
      <c r="B17" s="8" t="inlineStr">
        <is>
          <t>CNC Lathe Machine</t>
        </is>
      </c>
      <c r="C17" s="9" t="n">
        <v>1</v>
      </c>
      <c r="D17" s="9" t="n">
        <v>0</v>
      </c>
      <c r="E17" s="9" t="n">
        <v>10</v>
      </c>
      <c r="F17" s="9">
        <f>IFERROR(MIN(C17,D17)*E17/C17,0)</f>
        <v/>
      </c>
      <c r="G17" s="9" t="n"/>
    </row>
    <row r="18" ht="14.15" customHeight="1">
      <c r="A18" s="14" t="n">
        <v>3</v>
      </c>
      <c r="B18" s="8" t="inlineStr">
        <is>
          <t>CNC Milling Machine</t>
        </is>
      </c>
      <c r="C18" s="9" t="n">
        <v>1</v>
      </c>
      <c r="D18" s="9" t="n">
        <v>0</v>
      </c>
      <c r="E18" s="9" t="n">
        <v>10</v>
      </c>
      <c r="F18" s="9">
        <f>IFERROR(MIN(C18,D18)*E18/C18,0)</f>
        <v/>
      </c>
      <c r="G18" s="9" t="n"/>
    </row>
    <row r="19" ht="14.15" customHeight="1">
      <c r="A19" s="14" t="n">
        <v>4</v>
      </c>
      <c r="B19" s="8" t="inlineStr">
        <is>
          <t>Bench Vice</t>
        </is>
      </c>
      <c r="C19" s="9" t="n">
        <v>5</v>
      </c>
      <c r="D19" s="9" t="n">
        <v>0</v>
      </c>
      <c r="E19" s="9" t="n">
        <v>5</v>
      </c>
      <c r="F19" s="9">
        <f>IFERROR(MIN(C19,D19)*E19/C19,0)</f>
        <v/>
      </c>
      <c r="G19" s="9" t="n"/>
    </row>
    <row r="20" ht="14.15" customHeight="1">
      <c r="A20" s="14" t="n">
        <v>5</v>
      </c>
      <c r="B20" s="8" t="inlineStr">
        <is>
          <t>Working Table</t>
        </is>
      </c>
      <c r="C20" s="9" t="n">
        <v>2</v>
      </c>
      <c r="D20" s="9" t="n">
        <v>0</v>
      </c>
      <c r="E20" s="9" t="n">
        <v>4</v>
      </c>
      <c r="F20" s="9">
        <f>IFERROR(MIN(C20,D20)*E20/C20,0)</f>
        <v/>
      </c>
      <c r="G20" s="9" t="n"/>
    </row>
    <row r="21" ht="14.15" customHeight="1">
      <c r="A21" s="14" t="n">
        <v>6</v>
      </c>
      <c r="B21" s="8" t="inlineStr">
        <is>
          <t>Cutting tools set for lathe machine</t>
        </is>
      </c>
      <c r="C21" s="9" t="n">
        <v>2</v>
      </c>
      <c r="D21" s="9" t="n">
        <v>0</v>
      </c>
      <c r="E21" s="9" t="n">
        <v>7</v>
      </c>
      <c r="F21" s="9">
        <f>IFERROR(MIN(C21,D21)*E21/C21,0)</f>
        <v/>
      </c>
      <c r="G21" s="9" t="n"/>
    </row>
    <row r="22" ht="14.15" customHeight="1">
      <c r="A22" s="14" t="n">
        <v>7</v>
      </c>
      <c r="B22" s="8" t="inlineStr">
        <is>
          <t>Cutting tools set for milling machine</t>
        </is>
      </c>
      <c r="C22" s="9" t="n">
        <v>2</v>
      </c>
      <c r="D22" s="9" t="n">
        <v>0</v>
      </c>
      <c r="E22" s="9" t="n">
        <v>7</v>
      </c>
      <c r="F22" s="9">
        <f>IFERROR(MIN(C22,D22)*E22/C22,0)</f>
        <v/>
      </c>
      <c r="G22" s="9" t="n"/>
    </row>
    <row r="23" ht="14.15" customHeight="1">
      <c r="A23" s="14" t="n">
        <v>8</v>
      </c>
      <c r="B23" s="8" t="inlineStr">
        <is>
          <t>Vernier caliper</t>
        </is>
      </c>
      <c r="C23" s="9" t="n">
        <v>5</v>
      </c>
      <c r="D23" s="9" t="n">
        <v>0</v>
      </c>
      <c r="E23" s="9" t="n">
        <v>5</v>
      </c>
      <c r="F23" s="9">
        <f>IFERROR(MIN(C23,D23)*E23/C23,0)</f>
        <v/>
      </c>
      <c r="G23" s="9" t="n"/>
    </row>
    <row r="24" ht="14.15" customHeight="1">
      <c r="A24" s="14" t="n">
        <v>9</v>
      </c>
      <c r="B24" s="8" t="inlineStr">
        <is>
          <t>Micrometer</t>
        </is>
      </c>
      <c r="C24" s="9" t="n">
        <v>5</v>
      </c>
      <c r="D24" s="9" t="n">
        <v>0</v>
      </c>
      <c r="E24" s="9" t="n">
        <v>5</v>
      </c>
      <c r="F24" s="9">
        <f>IFERROR(MIN(C24,D24)*E24/C24,0)</f>
        <v/>
      </c>
      <c r="G24" s="9" t="n"/>
    </row>
    <row r="25" ht="14.15" customHeight="1">
      <c r="A25" s="14" t="n">
        <v>10</v>
      </c>
      <c r="B25" s="8" t="inlineStr">
        <is>
          <t>Tool Grinding Machine</t>
        </is>
      </c>
      <c r="C25" s="9" t="n">
        <v>1</v>
      </c>
      <c r="D25" s="9" t="n">
        <v>0</v>
      </c>
      <c r="E25" s="9" t="n">
        <v>6</v>
      </c>
      <c r="F25" s="9">
        <f>IFERROR(MIN(C25,D25)*E25/C25,0)</f>
        <v/>
      </c>
      <c r="G25" s="9" t="n"/>
    </row>
    <row r="26" ht="14.15" customHeight="1">
      <c r="A26" s="14" t="n">
        <v>11</v>
      </c>
      <c r="B26" s="8" t="inlineStr">
        <is>
          <t>Clamping Device</t>
        </is>
      </c>
      <c r="C26" s="9" t="n">
        <v>2</v>
      </c>
      <c r="D26" s="9" t="n">
        <v>0</v>
      </c>
      <c r="E26" s="9" t="n">
        <v>4</v>
      </c>
      <c r="F26" s="9">
        <f>IFERROR(MIN(C26,D26)*E26/C26,0)</f>
        <v/>
      </c>
      <c r="G26" s="9" t="inlineStr">
        <is>
          <t>2 Set</t>
        </is>
      </c>
    </row>
    <row r="27" ht="14.15" customHeight="1">
      <c r="A27" s="14" t="n">
        <v>12</v>
      </c>
      <c r="B27" s="8" t="inlineStr">
        <is>
          <t>Machine vice</t>
        </is>
      </c>
      <c r="C27" s="9" t="n">
        <v>1</v>
      </c>
      <c r="D27" s="9" t="n">
        <v>0</v>
      </c>
      <c r="E27" s="9" t="n">
        <v>4</v>
      </c>
      <c r="F27" s="9">
        <f>IFERROR(MIN(C27,D27)*E27/C27,0)</f>
        <v/>
      </c>
      <c r="G27" s="9" t="n"/>
    </row>
    <row r="28" ht="14.15" customHeight="1">
      <c r="A28" s="14" t="n">
        <v>13</v>
      </c>
      <c r="B28" s="8" t="inlineStr">
        <is>
          <t>Hand grinding machine</t>
        </is>
      </c>
      <c r="C28" s="9" t="n">
        <v>1</v>
      </c>
      <c r="D28" s="9" t="n">
        <v>0</v>
      </c>
      <c r="E28" s="9" t="n">
        <v>5</v>
      </c>
      <c r="F28" s="9">
        <f>IFERROR(MIN(C28,D28)*E28/C28,0)</f>
        <v/>
      </c>
      <c r="G28" s="9" t="n"/>
    </row>
    <row r="29">
      <c r="A29" s="15" t="inlineStr">
        <is>
          <t>Sum</t>
        </is>
      </c>
      <c r="B29" s="11" t="n"/>
      <c r="C29" s="11" t="n"/>
      <c r="D29" s="12" t="n"/>
      <c r="E29" s="15">
        <f>SUM(E16:E28)</f>
        <v/>
      </c>
      <c r="F29" s="15">
        <f>SUM(F16:F28)</f>
        <v/>
      </c>
      <c r="G29" s="13" t="n"/>
    </row>
    <row r="30">
      <c r="A30" s="15" t="inlineStr">
        <is>
          <t>Score out of 100</t>
        </is>
      </c>
      <c r="B30" s="11" t="n"/>
      <c r="C30" s="11" t="n"/>
      <c r="D30" s="11" t="n"/>
      <c r="E30" s="12" t="n"/>
      <c r="F30" s="15">
        <f>F29/E29*100</f>
        <v/>
      </c>
      <c r="G30" s="13" t="n"/>
    </row>
    <row r="31" ht="9.75" customHeight="1"/>
    <row r="32">
      <c r="A32" s="15" t="inlineStr">
        <is>
          <t xml:space="preserve">Total achieved points out of 30  </t>
        </is>
      </c>
      <c r="B32" s="11" t="n"/>
      <c r="C32" s="11" t="n"/>
      <c r="D32" s="11" t="n"/>
      <c r="E32" s="12" t="n"/>
      <c r="F32" s="15">
        <f>F30*30/100</f>
        <v/>
      </c>
      <c r="G32" s="15"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Computer/Laptops</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Channel wiring practice board/booth</t>
        </is>
      </c>
      <c r="C18" s="9" t="n">
        <v>25</v>
      </c>
      <c r="D18" s="9" t="n">
        <v>0</v>
      </c>
      <c r="E18" s="9" t="n">
        <v>8</v>
      </c>
      <c r="F18" s="9">
        <f>IFERROR(MIN(C18,D18)*E18/C18,0)</f>
        <v/>
      </c>
      <c r="G18" s="9" t="n"/>
    </row>
    <row r="19" ht="14.15" customHeight="1">
      <c r="A19" s="14" t="n">
        <v>4</v>
      </c>
      <c r="B19" s="8" t="inlineStr">
        <is>
          <t>Concealed wiring practice booth/wall</t>
        </is>
      </c>
      <c r="C19" s="9" t="n">
        <v>5</v>
      </c>
      <c r="D19" s="9" t="n">
        <v>0</v>
      </c>
      <c r="E19" s="9" t="n">
        <v>8</v>
      </c>
      <c r="F19" s="9">
        <f>IFERROR(MIN(C19,D19)*E19/C19,0)</f>
        <v/>
      </c>
      <c r="G19" s="9" t="n"/>
    </row>
    <row r="20" ht="14.15" customHeight="1">
      <c r="A20" s="14" t="n">
        <v>5</v>
      </c>
      <c r="B20" s="8" t="inlineStr">
        <is>
          <t>Main Distribution Board with busbar, CB and other accessories (Training model)</t>
        </is>
      </c>
      <c r="C20" s="9" t="n">
        <v>5</v>
      </c>
      <c r="D20" s="9" t="n">
        <v>0</v>
      </c>
      <c r="E20" s="9" t="n">
        <v>8</v>
      </c>
      <c r="F20" s="9">
        <f>IFERROR(MIN(C20,D20)*E20/C20,0)</f>
        <v/>
      </c>
      <c r="G20" s="9" t="n"/>
    </row>
    <row r="21" ht="14.15" customHeight="1">
      <c r="A21" s="14" t="n">
        <v>6</v>
      </c>
      <c r="B21" s="8" t="inlineStr">
        <is>
          <t>Sub Distribution Board with busbar, CB and other accessories (Training model)</t>
        </is>
      </c>
      <c r="C21" s="9" t="n">
        <v>5</v>
      </c>
      <c r="D21" s="9" t="n">
        <v>0</v>
      </c>
      <c r="E21" s="9" t="n">
        <v>8</v>
      </c>
      <c r="F21" s="9">
        <f>IFERROR(MIN(C21,D21)*E21/C21,0)</f>
        <v/>
      </c>
      <c r="G21" s="9" t="n"/>
    </row>
    <row r="22" ht="14.15" customHeight="1">
      <c r="A22" s="14" t="n">
        <v>7</v>
      </c>
      <c r="B22" s="8" t="inlineStr">
        <is>
          <t>DOL Starter</t>
        </is>
      </c>
      <c r="C22" s="9" t="n">
        <v>10</v>
      </c>
      <c r="D22" s="9" t="n">
        <v>0</v>
      </c>
      <c r="E22" s="9" t="n">
        <v>7</v>
      </c>
      <c r="F22" s="9">
        <f>IFERROR(MIN(C22,D22)*E22/C22,0)</f>
        <v/>
      </c>
      <c r="G22" s="9" t="n"/>
    </row>
    <row r="23" ht="14.15" customHeight="1">
      <c r="A23" s="14" t="n">
        <v>8</v>
      </c>
      <c r="B23" s="8" t="inlineStr">
        <is>
          <t>Generator (2 to 5 KW)</t>
        </is>
      </c>
      <c r="C23" s="9" t="n">
        <v>1</v>
      </c>
      <c r="D23" s="9" t="n">
        <v>0</v>
      </c>
      <c r="E23" s="9" t="n">
        <v>8</v>
      </c>
      <c r="F23" s="9">
        <f>IFERROR(MIN(C23,D23)*E23/C23,0)</f>
        <v/>
      </c>
      <c r="G23" s="9" t="n"/>
    </row>
    <row r="24" ht="14.15" customHeight="1">
      <c r="A24" s="14" t="n">
        <v>9</v>
      </c>
      <c r="B24" s="8" t="inlineStr">
        <is>
          <t>ATS</t>
        </is>
      </c>
      <c r="C24" s="9" t="n">
        <v>3</v>
      </c>
      <c r="D24" s="9" t="n">
        <v>0</v>
      </c>
      <c r="E24" s="9" t="n">
        <v>6</v>
      </c>
      <c r="F24" s="9">
        <f>IFERROR(MIN(C24,D24)*E24/C24,0)</f>
        <v/>
      </c>
      <c r="G24" s="9" t="n"/>
    </row>
    <row r="25" ht="14.15" customHeight="1">
      <c r="A25" s="14" t="n">
        <v>10</v>
      </c>
      <c r="B25" s="8" t="inlineStr">
        <is>
          <t>Changeover switch</t>
        </is>
      </c>
      <c r="C25" s="9" t="n">
        <v>3</v>
      </c>
      <c r="D25" s="9" t="n">
        <v>0</v>
      </c>
      <c r="E25" s="9" t="n">
        <v>5</v>
      </c>
      <c r="F25" s="9">
        <f>IFERROR(MIN(C25,D25)*E25/C25,0)</f>
        <v/>
      </c>
      <c r="G25" s="9" t="n"/>
    </row>
    <row r="26" ht="14.15" customHeight="1">
      <c r="A26" s="14" t="n">
        <v>11</v>
      </c>
      <c r="B26" s="8" t="inlineStr">
        <is>
          <t>Solar power system (Solar panel, battery, charge controller and load)</t>
        </is>
      </c>
      <c r="C26" s="9" t="n">
        <v>5</v>
      </c>
      <c r="D26" s="9" t="n">
        <v>0</v>
      </c>
      <c r="E26" s="9" t="n">
        <v>8</v>
      </c>
      <c r="F26" s="9">
        <f>IFERROR(MIN(C26,D26)*E26/C26,0)</f>
        <v/>
      </c>
      <c r="G26" s="9" t="n"/>
    </row>
    <row r="27" ht="14.15" customHeight="1">
      <c r="A27" s="14" t="n">
        <v>12</v>
      </c>
      <c r="B27" s="8" t="inlineStr">
        <is>
          <t>Electric drill machine</t>
        </is>
      </c>
      <c r="C27" s="9" t="n">
        <v>10</v>
      </c>
      <c r="D27" s="9" t="n">
        <v>0</v>
      </c>
      <c r="E27" s="9" t="n">
        <v>5</v>
      </c>
      <c r="F27" s="9">
        <f>IFERROR(MIN(C27,D27)*E27/C27,0)</f>
        <v/>
      </c>
      <c r="G27" s="9" t="n"/>
    </row>
    <row r="28" ht="14.15" customHeight="1">
      <c r="A28" s="14" t="n">
        <v>13</v>
      </c>
      <c r="B28" s="8" t="inlineStr">
        <is>
          <t>Electric grinding machine</t>
        </is>
      </c>
      <c r="C28" s="9" t="n">
        <v>10</v>
      </c>
      <c r="D28" s="9" t="n">
        <v>0</v>
      </c>
      <c r="E28" s="9" t="n">
        <v>5</v>
      </c>
      <c r="F28" s="9">
        <f>IFERROR(MIN(C28,D28)*E28/C28,0)</f>
        <v/>
      </c>
      <c r="G28" s="9" t="n"/>
    </row>
    <row r="29" ht="14.15" customHeight="1">
      <c r="A29" s="14" t="n">
        <v>14</v>
      </c>
      <c r="B29" s="8" t="inlineStr">
        <is>
          <t>Energy Meter (1 Phase)</t>
        </is>
      </c>
      <c r="C29" s="9" t="n">
        <v>10</v>
      </c>
      <c r="D29" s="9" t="n">
        <v>0</v>
      </c>
      <c r="E29" s="9" t="n">
        <v>6</v>
      </c>
      <c r="F29" s="9">
        <f>IFERROR(MIN(C29,D29)*E29/C29,0)</f>
        <v/>
      </c>
      <c r="G29" s="9" t="n"/>
    </row>
    <row r="30" ht="14.15" customHeight="1">
      <c r="A30" s="14" t="n">
        <v>15</v>
      </c>
      <c r="B30" s="8" t="inlineStr">
        <is>
          <t>Energy Meter (3 Phase)</t>
        </is>
      </c>
      <c r="C30" s="9" t="n">
        <v>5</v>
      </c>
      <c r="D30" s="9" t="n">
        <v>0</v>
      </c>
      <c r="E30" s="9" t="n">
        <v>6</v>
      </c>
      <c r="F30" s="9">
        <f>IFERROR(MIN(C30,D30)*E30/C30,0)</f>
        <v/>
      </c>
      <c r="G30" s="9" t="n"/>
    </row>
    <row r="31" ht="14.15" customHeight="1">
      <c r="A31" s="14" t="n">
        <v>16</v>
      </c>
      <c r="B31" s="8" t="inlineStr">
        <is>
          <t>Earth tester</t>
        </is>
      </c>
      <c r="C31" s="9" t="n">
        <v>2</v>
      </c>
      <c r="D31" s="9" t="n">
        <v>0</v>
      </c>
      <c r="E31" s="9" t="n">
        <v>6</v>
      </c>
      <c r="F31" s="9">
        <f>IFERROR(MIN(C31,D31)*E31/C31,0)</f>
        <v/>
      </c>
      <c r="G31" s="9" t="n"/>
    </row>
    <row r="32" ht="14.15" customHeight="1">
      <c r="A32" s="14" t="n">
        <v>17</v>
      </c>
      <c r="B32" s="8" t="inlineStr">
        <is>
          <t>Megger</t>
        </is>
      </c>
      <c r="C32" s="9" t="n">
        <v>2</v>
      </c>
      <c r="D32" s="9" t="n">
        <v>0</v>
      </c>
      <c r="E32" s="9" t="n">
        <v>6</v>
      </c>
      <c r="F32" s="9">
        <f>IFERROR(MIN(C32,D32)*E32/C32,0)</f>
        <v/>
      </c>
      <c r="G32" s="9" t="n"/>
    </row>
    <row r="33" ht="14.15" customHeight="1">
      <c r="A33" s="14" t="n">
        <v>18</v>
      </c>
      <c r="B33" s="8" t="inlineStr">
        <is>
          <t>Phase sequence meter</t>
        </is>
      </c>
      <c r="C33" s="9" t="n">
        <v>1</v>
      </c>
      <c r="D33" s="9" t="n">
        <v>0</v>
      </c>
      <c r="E33" s="9" t="n">
        <v>5</v>
      </c>
      <c r="F33" s="9">
        <f>IFERROR(MIN(C33,D33)*E33/C33,0)</f>
        <v/>
      </c>
      <c r="G33" s="9" t="n"/>
    </row>
    <row r="34" ht="14.15" customHeight="1">
      <c r="A34" s="14" t="n">
        <v>19</v>
      </c>
      <c r="B34" s="8" t="inlineStr">
        <is>
          <t>Single phase induction motor</t>
        </is>
      </c>
      <c r="C34" s="9" t="n">
        <v>5</v>
      </c>
      <c r="D34" s="9" t="n">
        <v>0</v>
      </c>
      <c r="E34" s="9" t="n">
        <v>7</v>
      </c>
      <c r="F34" s="9">
        <f>IFERROR(MIN(C34,D34)*E34/C34,0)</f>
        <v/>
      </c>
      <c r="G34" s="9" t="n"/>
    </row>
    <row r="35" ht="14.15" customHeight="1">
      <c r="A35" s="14" t="n">
        <v>20</v>
      </c>
      <c r="B35" s="8" t="inlineStr">
        <is>
          <t>Three phase induction motor</t>
        </is>
      </c>
      <c r="C35" s="9" t="n">
        <v>3</v>
      </c>
      <c r="D35" s="9" t="n">
        <v>0</v>
      </c>
      <c r="E35" s="9" t="n">
        <v>7</v>
      </c>
      <c r="F35" s="9">
        <f>IFERROR(MIN(C35,D35)*E35/C35,0)</f>
        <v/>
      </c>
      <c r="G35" s="9" t="n"/>
    </row>
    <row r="36" ht="14.15" customHeight="1">
      <c r="A36" s="14" t="n">
        <v>21</v>
      </c>
      <c r="B36" s="8" t="inlineStr">
        <is>
          <t>Ceiling fan</t>
        </is>
      </c>
      <c r="C36" s="9" t="n">
        <v>5</v>
      </c>
      <c r="D36" s="9" t="n">
        <v>0</v>
      </c>
      <c r="E36" s="9" t="n">
        <v>4</v>
      </c>
      <c r="F36" s="9">
        <f>IFERROR(MIN(C36,D36)*E36/C36,0)</f>
        <v/>
      </c>
      <c r="G36" s="9" t="n"/>
    </row>
    <row r="37" ht="14.15" customHeight="1">
      <c r="A37" s="14" t="n">
        <v>22</v>
      </c>
      <c r="B37" s="8" t="inlineStr">
        <is>
          <t>Pump Motor</t>
        </is>
      </c>
      <c r="C37" s="9" t="n">
        <v>2</v>
      </c>
      <c r="D37" s="9" t="n">
        <v>0</v>
      </c>
      <c r="E37" s="9" t="n">
        <v>6</v>
      </c>
      <c r="F37" s="9">
        <f>IFERROR(MIN(C37,D37)*E37/C37,0)</f>
        <v/>
      </c>
      <c r="G37" s="9" t="n"/>
    </row>
    <row r="38" ht="14.15" customHeight="1">
      <c r="A38" s="14" t="n">
        <v>23</v>
      </c>
      <c r="B38" s="8" t="inlineStr">
        <is>
          <t>Bench Vice</t>
        </is>
      </c>
      <c r="C38" s="9" t="n">
        <v>5</v>
      </c>
      <c r="D38" s="9" t="n">
        <v>0</v>
      </c>
      <c r="E38" s="9" t="n">
        <v>4</v>
      </c>
      <c r="F38" s="9">
        <f>IFERROR(MIN(C38,D38)*E38/C38,0)</f>
        <v/>
      </c>
      <c r="G38" s="9" t="n"/>
    </row>
    <row r="39">
      <c r="A39" s="15" t="inlineStr">
        <is>
          <t>Sum</t>
        </is>
      </c>
      <c r="B39" s="11" t="n"/>
      <c r="C39" s="11" t="n"/>
      <c r="D39" s="12" t="n"/>
      <c r="E39" s="15">
        <f>SUM(E16:E38)</f>
        <v/>
      </c>
      <c r="F39" s="15">
        <f>SUM(F16:F38)</f>
        <v/>
      </c>
      <c r="G39" s="13" t="n"/>
    </row>
    <row r="40">
      <c r="A40" s="15" t="inlineStr">
        <is>
          <t>Score out of 100</t>
        </is>
      </c>
      <c r="B40" s="11" t="n"/>
      <c r="C40" s="11" t="n"/>
      <c r="D40" s="11" t="n"/>
      <c r="E40" s="12" t="n"/>
      <c r="F40" s="15">
        <f>F39/E39*100</f>
        <v/>
      </c>
      <c r="G40" s="13" t="n"/>
    </row>
    <row r="41" ht="9.75" customHeight="1"/>
    <row r="42">
      <c r="A42" s="15" t="inlineStr">
        <is>
          <t xml:space="preserve">Total achieved points out of 30  </t>
        </is>
      </c>
      <c r="B42" s="11" t="n"/>
      <c r="C42" s="11" t="n"/>
      <c r="D42" s="11" t="n"/>
      <c r="E42" s="12" t="n"/>
      <c r="F42" s="15">
        <f>F40*30/100</f>
        <v/>
      </c>
      <c r="G42" s="15"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(Industry)</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 with internet facility</t>
        </is>
      </c>
      <c r="C16" s="9" t="n">
        <v>1</v>
      </c>
      <c r="D16" s="9" t="n">
        <v>0</v>
      </c>
      <c r="E16" s="9" t="n">
        <v>5</v>
      </c>
      <c r="F16" s="9">
        <f>IFERROR(MIN(C16,D16)*E16/C16,0)</f>
        <v/>
      </c>
      <c r="G16" s="9" t="n"/>
    </row>
    <row r="17" ht="14.15" customHeight="1">
      <c r="A17" s="14" t="n">
        <v>2</v>
      </c>
      <c r="B17" s="8" t="inlineStr">
        <is>
          <t>Multimedia projector &amp; screen</t>
        </is>
      </c>
      <c r="C17" s="9" t="n">
        <v>1</v>
      </c>
      <c r="D17" s="9" t="n">
        <v>0</v>
      </c>
      <c r="E17" s="9" t="n">
        <v>5</v>
      </c>
      <c r="F17" s="9">
        <f>IFERROR(MIN(C17,D17)*E17/C17,0)</f>
        <v/>
      </c>
      <c r="G17" s="9" t="n"/>
    </row>
    <row r="18" ht="14.15" customHeight="1">
      <c r="A18" s="14" t="n">
        <v>3</v>
      </c>
      <c r="B18" s="8" t="inlineStr">
        <is>
          <t>Wiring Board</t>
        </is>
      </c>
      <c r="C18" s="9" t="n">
        <v>20</v>
      </c>
      <c r="D18" s="9" t="n">
        <v>0</v>
      </c>
      <c r="E18" s="9" t="n">
        <v>8</v>
      </c>
      <c r="F18" s="9">
        <f>IFERROR(MIN(C18,D18)*E18/C18,0)</f>
        <v/>
      </c>
      <c r="G18" s="9" t="n"/>
    </row>
    <row r="19" ht="14.15" customHeight="1">
      <c r="A19" s="14" t="n">
        <v>4</v>
      </c>
      <c r="B19" s="8" t="inlineStr">
        <is>
          <t>Motor Coil Rewinding machine</t>
        </is>
      </c>
      <c r="C19" s="9" t="n">
        <v>5</v>
      </c>
      <c r="D19" s="9" t="n">
        <v>0</v>
      </c>
      <c r="E19" s="9" t="n">
        <v>8</v>
      </c>
      <c r="F19" s="9">
        <f>IFERROR(MIN(C19,D19)*E19/C19,0)</f>
        <v/>
      </c>
      <c r="G19" s="9" t="n"/>
    </row>
    <row r="20" ht="14.15" customHeight="1">
      <c r="A20" s="14" t="n">
        <v>5</v>
      </c>
      <c r="B20" s="8" t="inlineStr">
        <is>
          <t>Main Distribution Board with busbar, CB and other accessories (Training model)</t>
        </is>
      </c>
      <c r="C20" s="9" t="n">
        <v>5</v>
      </c>
      <c r="D20" s="9" t="n">
        <v>0</v>
      </c>
      <c r="E20" s="9" t="n">
        <v>8</v>
      </c>
      <c r="F20" s="9">
        <f>IFERROR(MIN(C20,D20)*E20/C20,0)</f>
        <v/>
      </c>
      <c r="G20" s="9" t="n"/>
    </row>
    <row r="21" ht="14.15" customHeight="1">
      <c r="A21" s="14" t="n">
        <v>6</v>
      </c>
      <c r="B21" s="8" t="inlineStr">
        <is>
          <t>Sub Distribution Board with busbar, CB and other accessories (Training model)</t>
        </is>
      </c>
      <c r="C21" s="9" t="n">
        <v>5</v>
      </c>
      <c r="D21" s="9" t="n">
        <v>0</v>
      </c>
      <c r="E21" s="9" t="n">
        <v>8</v>
      </c>
      <c r="F21" s="9">
        <f>IFERROR(MIN(C21,D21)*E21/C21,0)</f>
        <v/>
      </c>
      <c r="G21" s="9" t="n"/>
    </row>
    <row r="22" ht="14.15" customHeight="1">
      <c r="A22" s="14" t="n">
        <v>7</v>
      </c>
      <c r="B22" s="8" t="inlineStr">
        <is>
          <t>DOL Starter panel</t>
        </is>
      </c>
      <c r="C22" s="9" t="n">
        <v>4</v>
      </c>
      <c r="D22" s="9" t="n">
        <v>0</v>
      </c>
      <c r="E22" s="9" t="n">
        <v>7</v>
      </c>
      <c r="F22" s="9">
        <f>IFERROR(MIN(C22,D22)*E22/C22,0)</f>
        <v/>
      </c>
      <c r="G22" s="9" t="n"/>
    </row>
    <row r="23" ht="14.15" customHeight="1">
      <c r="A23" s="14" t="n">
        <v>8</v>
      </c>
      <c r="B23" s="8" t="inlineStr">
        <is>
          <t>Star Delta Starter panel</t>
        </is>
      </c>
      <c r="C23" s="9" t="n">
        <v>2</v>
      </c>
      <c r="D23" s="9" t="n">
        <v>0</v>
      </c>
      <c r="E23" s="9" t="n">
        <v>7</v>
      </c>
      <c r="F23" s="9">
        <f>IFERROR(MIN(C23,D23)*E23/C23,0)</f>
        <v/>
      </c>
      <c r="G23" s="9" t="n"/>
    </row>
    <row r="24" ht="14.15" customHeight="1">
      <c r="A24" s="14" t="n">
        <v>9</v>
      </c>
      <c r="B24" s="8" t="inlineStr">
        <is>
          <t>Reverse Forward Starter panel</t>
        </is>
      </c>
      <c r="C24" s="9" t="n">
        <v>2</v>
      </c>
      <c r="D24" s="9" t="n">
        <v>0</v>
      </c>
      <c r="E24" s="9" t="n">
        <v>7</v>
      </c>
      <c r="F24" s="9">
        <f>IFERROR(MIN(C24,D24)*E24/C24,0)</f>
        <v/>
      </c>
      <c r="G24" s="9" t="n"/>
    </row>
    <row r="25" ht="14.15" customHeight="1">
      <c r="A25" s="14" t="n">
        <v>10</v>
      </c>
      <c r="B25" s="8" t="inlineStr">
        <is>
          <t>Magnetic contactor (coil voltage 220V and 400V)</t>
        </is>
      </c>
      <c r="C25" s="9" t="n">
        <v>20</v>
      </c>
      <c r="D25" s="9" t="n">
        <v>0</v>
      </c>
      <c r="E25" s="9" t="n">
        <v>6</v>
      </c>
      <c r="F25" s="9">
        <f>IFERROR(MIN(C25,D25)*E25/C25,0)</f>
        <v/>
      </c>
      <c r="G25" s="9" t="n"/>
    </row>
    <row r="26" ht="14.15" customHeight="1">
      <c r="A26" s="14" t="n">
        <v>11</v>
      </c>
      <c r="B26" s="8" t="inlineStr">
        <is>
          <t>Relay</t>
        </is>
      </c>
      <c r="C26" s="9" t="n">
        <v>10</v>
      </c>
      <c r="D26" s="9" t="n">
        <v>0</v>
      </c>
      <c r="E26" s="9" t="n">
        <v>5</v>
      </c>
      <c r="F26" s="9">
        <f>IFERROR(MIN(C26,D26)*E26/C26,0)</f>
        <v/>
      </c>
      <c r="G26" s="9" t="n"/>
    </row>
    <row r="27" ht="14.15" customHeight="1">
      <c r="A27" s="14" t="n">
        <v>12</v>
      </c>
      <c r="B27" s="8" t="inlineStr">
        <is>
          <t>Timer</t>
        </is>
      </c>
      <c r="C27" s="9" t="n">
        <v>10</v>
      </c>
      <c r="D27" s="9" t="n">
        <v>0</v>
      </c>
      <c r="E27" s="9" t="n">
        <v>4</v>
      </c>
      <c r="F27" s="9">
        <f>IFERROR(MIN(C27,D27)*E27/C27,0)</f>
        <v/>
      </c>
      <c r="G27" s="9" t="n"/>
    </row>
    <row r="28" ht="14.15" customHeight="1">
      <c r="A28" s="14" t="n">
        <v>13</v>
      </c>
      <c r="B28" s="8" t="inlineStr">
        <is>
          <t>Pilot lamp &amp; Push switch</t>
        </is>
      </c>
      <c r="C28" s="9" t="n">
        <v>20</v>
      </c>
      <c r="D28" s="9" t="n">
        <v>0</v>
      </c>
      <c r="E28" s="9" t="n">
        <v>3</v>
      </c>
      <c r="F28" s="9">
        <f>IFERROR(MIN(C28,D28)*E28/C28,0)</f>
        <v/>
      </c>
      <c r="G28" s="9" t="n"/>
    </row>
    <row r="29" ht="14.15" customHeight="1">
      <c r="A29" s="14" t="n">
        <v>14</v>
      </c>
      <c r="B29" s="8" t="inlineStr">
        <is>
          <t>Push switch</t>
        </is>
      </c>
      <c r="C29" s="9" t="n">
        <v>30</v>
      </c>
      <c r="D29" s="9" t="n">
        <v>0</v>
      </c>
      <c r="E29" s="9" t="n">
        <v>3</v>
      </c>
      <c r="F29" s="9">
        <f>IFERROR(MIN(C29,D29)*E29/C29,0)</f>
        <v/>
      </c>
      <c r="G29" s="9" t="n"/>
    </row>
    <row r="30" ht="14.15" customHeight="1">
      <c r="A30" s="14" t="n">
        <v>15</v>
      </c>
      <c r="B30" s="8" t="inlineStr">
        <is>
          <t>Generator (Minimum 2 KW)</t>
        </is>
      </c>
      <c r="C30" s="9" t="n">
        <v>1</v>
      </c>
      <c r="D30" s="9" t="n">
        <v>0</v>
      </c>
      <c r="E30" s="9" t="n">
        <v>8</v>
      </c>
      <c r="F30" s="9">
        <f>IFERROR(MIN(C30,D30)*E30/C30,0)</f>
        <v/>
      </c>
      <c r="G30" s="9" t="n"/>
    </row>
    <row r="31" ht="14.15" customHeight="1">
      <c r="A31" s="14" t="n">
        <v>16</v>
      </c>
      <c r="B31" s="8" t="inlineStr">
        <is>
          <t>Solar power system set [Solar panel (minimum 40W), battery, charge controller, inverter and load]</t>
        </is>
      </c>
      <c r="C31" s="9" t="n">
        <v>2</v>
      </c>
      <c r="D31" s="9" t="n">
        <v>0</v>
      </c>
      <c r="E31" s="9" t="n">
        <v>8</v>
      </c>
      <c r="F31" s="9">
        <f>IFERROR(MIN(C31,D31)*E31/C31,0)</f>
        <v/>
      </c>
      <c r="G31" s="9" t="n"/>
    </row>
    <row r="32" ht="14.15" customHeight="1">
      <c r="A32" s="14" t="n">
        <v>17</v>
      </c>
      <c r="B32" s="8" t="inlineStr">
        <is>
          <t>Electric drill machine</t>
        </is>
      </c>
      <c r="C32" s="9" t="n">
        <v>5</v>
      </c>
      <c r="D32" s="9" t="n">
        <v>0</v>
      </c>
      <c r="E32" s="9" t="n">
        <v>5</v>
      </c>
      <c r="F32" s="9">
        <f>IFERROR(MIN(C32,D32)*E32/C32,0)</f>
        <v/>
      </c>
      <c r="G32" s="9" t="n"/>
    </row>
    <row r="33" ht="14.15" customHeight="1">
      <c r="A33" s="14" t="n">
        <v>18</v>
      </c>
      <c r="B33" s="8" t="inlineStr">
        <is>
          <t>Electric grinding machine</t>
        </is>
      </c>
      <c r="C33" s="9" t="n">
        <v>2</v>
      </c>
      <c r="D33" s="9" t="n">
        <v>0</v>
      </c>
      <c r="E33" s="9" t="n">
        <v>5</v>
      </c>
      <c r="F33" s="9">
        <f>IFERROR(MIN(C33,D33)*E33/C33,0)</f>
        <v/>
      </c>
      <c r="G33" s="9" t="n"/>
    </row>
    <row r="34" ht="14.15" customHeight="1">
      <c r="A34" s="14" t="n">
        <v>19</v>
      </c>
      <c r="B34" s="8" t="inlineStr">
        <is>
          <t>Soldering Stations</t>
        </is>
      </c>
      <c r="C34" s="9" t="n">
        <v>5</v>
      </c>
      <c r="D34" s="9" t="n">
        <v>0</v>
      </c>
      <c r="E34" s="9" t="n">
        <v>4</v>
      </c>
      <c r="F34" s="9">
        <f>IFERROR(MIN(C34,D34)*E34/C34,0)</f>
        <v/>
      </c>
      <c r="G34" s="9" t="n"/>
    </row>
    <row r="35" ht="14.15" customHeight="1">
      <c r="A35" s="14" t="n">
        <v>20</v>
      </c>
      <c r="B35" s="8" t="inlineStr">
        <is>
          <t>Energy Meter (1 Phase)</t>
        </is>
      </c>
      <c r="C35" s="9" t="n">
        <v>10</v>
      </c>
      <c r="D35" s="9" t="n">
        <v>0</v>
      </c>
      <c r="E35" s="9" t="n">
        <v>6</v>
      </c>
      <c r="F35" s="9">
        <f>IFERROR(MIN(C35,D35)*E35/C35,0)</f>
        <v/>
      </c>
      <c r="G35" s="9" t="n"/>
    </row>
    <row r="36" ht="14.15" customHeight="1">
      <c r="A36" s="14" t="n">
        <v>21</v>
      </c>
      <c r="B36" s="8" t="inlineStr">
        <is>
          <t>Energy Meter (3 Phase)</t>
        </is>
      </c>
      <c r="C36" s="9" t="n">
        <v>5</v>
      </c>
      <c r="D36" s="9" t="n">
        <v>0</v>
      </c>
      <c r="E36" s="9" t="n">
        <v>6</v>
      </c>
      <c r="F36" s="9">
        <f>IFERROR(MIN(C36,D36)*E36/C36,0)</f>
        <v/>
      </c>
      <c r="G36" s="9" t="n"/>
    </row>
    <row r="37" ht="14.15" customHeight="1">
      <c r="A37" s="14" t="n">
        <v>22</v>
      </c>
      <c r="B37" s="8" t="inlineStr">
        <is>
          <t>Multi meter/AVO meter</t>
        </is>
      </c>
      <c r="C37" s="9" t="n">
        <v>10</v>
      </c>
      <c r="D37" s="9" t="n">
        <v>0</v>
      </c>
      <c r="E37" s="9" t="n">
        <v>6</v>
      </c>
      <c r="F37" s="9">
        <f>IFERROR(MIN(C37,D37)*E37/C37,0)</f>
        <v/>
      </c>
      <c r="G37" s="9" t="n"/>
    </row>
    <row r="38" ht="14.15" customHeight="1">
      <c r="A38" s="14" t="n">
        <v>23</v>
      </c>
      <c r="B38" s="8" t="inlineStr">
        <is>
          <t>Earth tester</t>
        </is>
      </c>
      <c r="C38" s="9" t="n">
        <v>2</v>
      </c>
      <c r="D38" s="9" t="n">
        <v>0</v>
      </c>
      <c r="E38" s="9" t="n">
        <v>6</v>
      </c>
      <c r="F38" s="9">
        <f>IFERROR(MIN(C38,D38)*E38/C38,0)</f>
        <v/>
      </c>
      <c r="G38" s="9" t="n"/>
    </row>
    <row r="39" ht="14.15" customHeight="1">
      <c r="A39" s="14" t="n">
        <v>24</v>
      </c>
      <c r="B39" s="8" t="inlineStr">
        <is>
          <t>Digital weight machine</t>
        </is>
      </c>
      <c r="C39" s="9" t="n">
        <v>1</v>
      </c>
      <c r="D39" s="9" t="n">
        <v>0</v>
      </c>
      <c r="E39" s="9" t="n">
        <v>3</v>
      </c>
      <c r="F39" s="9">
        <f>IFERROR(MIN(C39,D39)*E39/C39,0)</f>
        <v/>
      </c>
      <c r="G39" s="9" t="n"/>
    </row>
    <row r="40" ht="14.15" customHeight="1">
      <c r="A40" s="14" t="n">
        <v>25</v>
      </c>
      <c r="B40" s="8" t="inlineStr">
        <is>
          <t>Insulation tester</t>
        </is>
      </c>
      <c r="C40" s="9" t="n">
        <v>2</v>
      </c>
      <c r="D40" s="9" t="n">
        <v>0</v>
      </c>
      <c r="E40" s="9" t="n">
        <v>6</v>
      </c>
      <c r="F40" s="9">
        <f>IFERROR(MIN(C40,D40)*E40/C40,0)</f>
        <v/>
      </c>
      <c r="G40" s="9" t="n"/>
    </row>
    <row r="41" ht="14.15" customHeight="1">
      <c r="A41" s="14" t="n">
        <v>26</v>
      </c>
      <c r="B41" s="8" t="inlineStr">
        <is>
          <t>Tachometer</t>
        </is>
      </c>
      <c r="C41" s="9" t="n">
        <v>2</v>
      </c>
      <c r="D41" s="9" t="n">
        <v>0</v>
      </c>
      <c r="E41" s="9" t="n">
        <v>4</v>
      </c>
      <c r="F41" s="9">
        <f>IFERROR(MIN(C41,D41)*E41/C41,0)</f>
        <v/>
      </c>
      <c r="G41" s="9" t="n"/>
    </row>
    <row r="42" ht="14.15" customHeight="1">
      <c r="A42" s="14" t="n">
        <v>27</v>
      </c>
      <c r="B42" s="8" t="inlineStr">
        <is>
          <t>Clamp Meter</t>
        </is>
      </c>
      <c r="C42" s="9" t="n">
        <v>2</v>
      </c>
      <c r="D42" s="9" t="n">
        <v>0</v>
      </c>
      <c r="E42" s="9" t="n">
        <v>5</v>
      </c>
      <c r="F42" s="9">
        <f>IFERROR(MIN(C42,D42)*E42/C42,0)</f>
        <v/>
      </c>
      <c r="G42" s="9" t="n"/>
    </row>
    <row r="43" ht="14.15" customHeight="1">
      <c r="A43" s="14" t="n">
        <v>28</v>
      </c>
      <c r="B43" s="8" t="inlineStr">
        <is>
          <t>Phase sequence meter</t>
        </is>
      </c>
      <c r="C43" s="9" t="n">
        <v>1</v>
      </c>
      <c r="D43" s="9" t="n">
        <v>0</v>
      </c>
      <c r="E43" s="9" t="n">
        <v>5</v>
      </c>
      <c r="F43" s="9">
        <f>IFERROR(MIN(C43,D43)*E43/C43,0)</f>
        <v/>
      </c>
      <c r="G43" s="9" t="n"/>
    </row>
    <row r="44" ht="14.15" customHeight="1">
      <c r="A44" s="14" t="n">
        <v>29</v>
      </c>
      <c r="B44" s="8" t="inlineStr">
        <is>
          <t>Single phase induction motor</t>
        </is>
      </c>
      <c r="C44" s="9" t="n">
        <v>4</v>
      </c>
      <c r="D44" s="9" t="n">
        <v>0</v>
      </c>
      <c r="E44" s="9" t="n">
        <v>7</v>
      </c>
      <c r="F44" s="9">
        <f>IFERROR(MIN(C44,D44)*E44/C44,0)</f>
        <v/>
      </c>
      <c r="G44" s="9" t="n"/>
    </row>
    <row r="45" ht="14.15" customHeight="1">
      <c r="A45" s="14" t="n">
        <v>30</v>
      </c>
      <c r="B45" s="8" t="inlineStr">
        <is>
          <t>Three phase induction motor (minimum 3hp)</t>
        </is>
      </c>
      <c r="C45" s="9" t="n">
        <v>4</v>
      </c>
      <c r="D45" s="9" t="n">
        <v>0</v>
      </c>
      <c r="E45" s="9" t="n">
        <v>7</v>
      </c>
      <c r="F45" s="9">
        <f>IFERROR(MIN(C45,D45)*E45/C45,0)</f>
        <v/>
      </c>
      <c r="G45" s="9" t="n"/>
    </row>
    <row r="46" ht="14.15" customHeight="1">
      <c r="A46" s="14" t="n">
        <v>31</v>
      </c>
      <c r="B46" s="8" t="inlineStr">
        <is>
          <t>Ceiling fan</t>
        </is>
      </c>
      <c r="C46" s="9" t="n">
        <v>10</v>
      </c>
      <c r="D46" s="9" t="n">
        <v>0</v>
      </c>
      <c r="E46" s="9" t="n">
        <v>4</v>
      </c>
      <c r="F46" s="9">
        <f>IFERROR(MIN(C46,D46)*E46/C46,0)</f>
        <v/>
      </c>
      <c r="G46" s="9" t="n"/>
    </row>
    <row r="47" ht="14.15" customHeight="1">
      <c r="A47" s="14" t="n">
        <v>32</v>
      </c>
      <c r="B47" s="8" t="inlineStr">
        <is>
          <t>Table fan</t>
        </is>
      </c>
      <c r="C47" s="9" t="n">
        <v>4</v>
      </c>
      <c r="D47" s="9" t="n">
        <v>0</v>
      </c>
      <c r="E47" s="9" t="n">
        <v>3</v>
      </c>
      <c r="F47" s="9">
        <f>IFERROR(MIN(C47,D47)*E47/C47,0)</f>
        <v/>
      </c>
      <c r="G47" s="9" t="n"/>
    </row>
    <row r="48" ht="14.15" customHeight="1">
      <c r="A48" s="14" t="n">
        <v>33</v>
      </c>
      <c r="B48" s="8" t="inlineStr">
        <is>
          <t>Bench Vice</t>
        </is>
      </c>
      <c r="C48" s="9" t="n">
        <v>5</v>
      </c>
      <c r="D48" s="9" t="n">
        <v>0</v>
      </c>
      <c r="E48" s="9" t="n">
        <v>4</v>
      </c>
      <c r="F48" s="9">
        <f>IFERROR(MIN(C48,D48)*E48/C48,0)</f>
        <v/>
      </c>
      <c r="G48" s="9" t="n"/>
    </row>
    <row r="49">
      <c r="A49" s="15" t="inlineStr">
        <is>
          <t>Sum</t>
        </is>
      </c>
      <c r="B49" s="11" t="n"/>
      <c r="C49" s="11" t="n"/>
      <c r="D49" s="12" t="n"/>
      <c r="E49" s="15">
        <f>SUM(E16:E48)</f>
        <v/>
      </c>
      <c r="F49" s="15">
        <f>SUM(F16:F48)</f>
        <v/>
      </c>
      <c r="G49" s="13" t="n"/>
    </row>
    <row r="50">
      <c r="A50" s="15" t="inlineStr">
        <is>
          <t>Score out of 100</t>
        </is>
      </c>
      <c r="B50" s="11" t="n"/>
      <c r="C50" s="11" t="n"/>
      <c r="D50" s="11" t="n"/>
      <c r="E50" s="12" t="n"/>
      <c r="F50" s="15">
        <f>F49/E49*100</f>
        <v/>
      </c>
      <c r="G50" s="13" t="n"/>
    </row>
    <row r="51" ht="9.75" customHeight="1"/>
    <row r="52">
      <c r="A52" s="15" t="inlineStr">
        <is>
          <t xml:space="preserve">Total achieved points out of 30  </t>
        </is>
      </c>
      <c r="B52" s="11" t="n"/>
      <c r="C52" s="11" t="n"/>
      <c r="D52" s="11" t="n"/>
      <c r="E52" s="12" t="n"/>
      <c r="F52" s="15">
        <f>F50*30/100</f>
        <v/>
      </c>
      <c r="G52" s="15" t="inlineStr">
        <is>
          <t>Points</t>
        </is>
      </c>
    </row>
  </sheetData>
  <mergeCells count="8">
    <mergeCell ref="A13:G13"/>
    <mergeCell ref="C7:G7"/>
    <mergeCell ref="A50:E50"/>
    <mergeCell ref="A1:G1"/>
    <mergeCell ref="A52:E52"/>
    <mergeCell ref="A49:D49"/>
    <mergeCell ref="C8:G8"/>
    <mergeCell ref="A51:G5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Service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Service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Service,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 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Service counter</t>
        </is>
      </c>
      <c r="C18" s="9" t="n">
        <v>1</v>
      </c>
      <c r="D18" s="9" t="n">
        <v>0</v>
      </c>
      <c r="E18" s="9" t="n">
        <v>7</v>
      </c>
      <c r="F18" s="9">
        <f>IFERROR(MIN(C18,D18)*E18/C18,0)</f>
        <v/>
      </c>
      <c r="G18" s="9" t="n"/>
    </row>
    <row r="19" ht="14.15" customHeight="1">
      <c r="A19" s="14" t="n">
        <v>4</v>
      </c>
      <c r="B19" s="8" t="inlineStr">
        <is>
          <t>Juicer</t>
        </is>
      </c>
      <c r="C19" s="9" t="n">
        <v>1</v>
      </c>
      <c r="D19" s="9" t="n">
        <v>0</v>
      </c>
      <c r="E19" s="9" t="n">
        <v>5</v>
      </c>
      <c r="F19" s="9">
        <f>IFERROR(MIN(C19,D19)*E19/C19,0)</f>
        <v/>
      </c>
      <c r="G19" s="9" t="n"/>
    </row>
    <row r="20" ht="14.15" customHeight="1">
      <c r="A20" s="14" t="n">
        <v>5</v>
      </c>
      <c r="B20" s="8" t="inlineStr">
        <is>
          <t>Table</t>
        </is>
      </c>
      <c r="C20" s="9" t="n">
        <v>4</v>
      </c>
      <c r="D20" s="9" t="n">
        <v>0</v>
      </c>
      <c r="E20" s="9" t="n">
        <v>5</v>
      </c>
      <c r="F20" s="9">
        <f>IFERROR(MIN(C20,D20)*E20/C20,0)</f>
        <v/>
      </c>
      <c r="G20" s="9" t="n"/>
    </row>
    <row r="21" ht="14.15" customHeight="1">
      <c r="A21" s="14" t="n">
        <v>6</v>
      </c>
      <c r="B21" s="8" t="inlineStr">
        <is>
          <t>Chair</t>
        </is>
      </c>
      <c r="C21" s="9" t="n">
        <v>16</v>
      </c>
      <c r="D21" s="9" t="n">
        <v>0</v>
      </c>
      <c r="E21" s="9" t="n">
        <v>4</v>
      </c>
      <c r="F21" s="9">
        <f>IFERROR(MIN(C21,D21)*E21/C21,0)</f>
        <v/>
      </c>
      <c r="G21" s="9" t="n"/>
    </row>
    <row r="22" ht="14.15" customHeight="1">
      <c r="A22" s="14" t="n">
        <v>7</v>
      </c>
      <c r="B22" s="8" t="inlineStr">
        <is>
          <t>Crockeries (Dinner plate, appetizer plate, dessert plate, BB plate, soup cup, soup saucer, tea cup and saucer)</t>
        </is>
      </c>
      <c r="C22" s="9" t="n">
        <v>20</v>
      </c>
      <c r="D22" s="9" t="n">
        <v>0</v>
      </c>
      <c r="E22" s="9" t="n">
        <v>8</v>
      </c>
      <c r="F22" s="9">
        <f>IFERROR(MIN(C22,D22)*E22/C22,0)</f>
        <v/>
      </c>
      <c r="G22" s="9" t="inlineStr">
        <is>
          <t>20 set</t>
        </is>
      </c>
    </row>
    <row r="23" ht="14.15" customHeight="1">
      <c r="A23" s="14" t="n">
        <v>8</v>
      </c>
      <c r="B23" s="8" t="inlineStr">
        <is>
          <t>Cutleries (Table knife, table fork, table spoon, soup spoon, dessert spoon, dessert fork, butter knife,</t>
        </is>
      </c>
      <c r="C23" s="9" t="n">
        <v>20</v>
      </c>
      <c r="D23" s="9" t="n">
        <v>0</v>
      </c>
      <c r="E23" s="9" t="n">
        <v>8</v>
      </c>
      <c r="F23" s="9">
        <f>IFERROR(MIN(C23,D23)*E23/C23,0)</f>
        <v/>
      </c>
      <c r="G23" s="9" t="inlineStr">
        <is>
          <t>20 set</t>
        </is>
      </c>
    </row>
    <row r="24" ht="14.15" customHeight="1">
      <c r="A24" s="14" t="n">
        <v>9</v>
      </c>
      <c r="B24" s="8" t="inlineStr">
        <is>
          <t>Glassware (Water goblet, Red and white wine glasses, hi-ball, Juice glass)</t>
        </is>
      </c>
      <c r="C24" s="9" t="n">
        <v>20</v>
      </c>
      <c r="D24" s="9" t="n">
        <v>0</v>
      </c>
      <c r="E24" s="9" t="n">
        <v>7</v>
      </c>
      <c r="F24" s="9">
        <f>IFERROR(MIN(C24,D24)*E24/C24,0)</f>
        <v/>
      </c>
      <c r="G24" s="9" t="inlineStr">
        <is>
          <t>20 set</t>
        </is>
      </c>
    </row>
    <row r="25" ht="14.15" customHeight="1">
      <c r="A25" s="14" t="n">
        <v>10</v>
      </c>
      <c r="B25" s="8" t="inlineStr">
        <is>
          <t>Hand wash Sink</t>
        </is>
      </c>
      <c r="C25" s="9" t="n">
        <v>1</v>
      </c>
      <c r="D25" s="9" t="n">
        <v>0</v>
      </c>
      <c r="E25" s="9" t="n">
        <v>5</v>
      </c>
      <c r="F25" s="9">
        <f>IFERROR(MIN(C25,D25)*E25/C25,0)</f>
        <v/>
      </c>
      <c r="G25" s="9" t="n"/>
    </row>
    <row r="26" ht="14.15" customHeight="1">
      <c r="A26" s="14" t="n">
        <v>11</v>
      </c>
      <c r="B26" s="8" t="inlineStr">
        <is>
          <t>Silencer</t>
        </is>
      </c>
      <c r="C26" s="9" t="n">
        <v>4</v>
      </c>
      <c r="D26" s="9" t="n">
        <v>0</v>
      </c>
      <c r="E26" s="9" t="n">
        <v>3</v>
      </c>
      <c r="F26" s="9">
        <f>IFERROR(MIN(C26,D26)*E26/C26,0)</f>
        <v/>
      </c>
      <c r="G26" s="9" t="n"/>
    </row>
    <row r="27" ht="14.15" customHeight="1">
      <c r="A27" s="14" t="n">
        <v>12</v>
      </c>
      <c r="B27" s="8" t="inlineStr">
        <is>
          <t>Table cloth</t>
        </is>
      </c>
      <c r="C27" s="9" t="n">
        <v>4</v>
      </c>
      <c r="D27" s="9" t="n">
        <v>0</v>
      </c>
      <c r="E27" s="9" t="n">
        <v>3</v>
      </c>
      <c r="F27" s="9">
        <f>IFERROR(MIN(C27,D27)*E27/C27,0)</f>
        <v/>
      </c>
      <c r="G27" s="9" t="n"/>
    </row>
    <row r="28" ht="14.15" customHeight="1">
      <c r="A28" s="14" t="n">
        <v>13</v>
      </c>
      <c r="B28" s="8" t="inlineStr">
        <is>
          <t>Napkin</t>
        </is>
      </c>
      <c r="C28" s="9" t="n">
        <v>20</v>
      </c>
      <c r="D28" s="9" t="n">
        <v>0</v>
      </c>
      <c r="E28" s="9" t="n">
        <v>3</v>
      </c>
      <c r="F28" s="9">
        <f>IFERROR(MIN(C28,D28)*E28/C28,0)</f>
        <v/>
      </c>
      <c r="G28" s="9" t="n"/>
    </row>
    <row r="29" ht="14.15" customHeight="1">
      <c r="A29" s="14" t="n">
        <v>14</v>
      </c>
      <c r="B29" s="8" t="inlineStr">
        <is>
          <t>Table top</t>
        </is>
      </c>
      <c r="C29" s="9" t="n">
        <v>4</v>
      </c>
      <c r="D29" s="9" t="n">
        <v>0</v>
      </c>
      <c r="E29" s="9" t="n">
        <v>3</v>
      </c>
      <c r="F29" s="9">
        <f>IFERROR(MIN(C29,D29)*E29/C29,0)</f>
        <v/>
      </c>
      <c r="G29" s="9" t="n"/>
    </row>
    <row r="30" ht="14.15" customHeight="1">
      <c r="A30" s="14" t="n">
        <v>15</v>
      </c>
      <c r="B30" s="8" t="inlineStr">
        <is>
          <t>Place mat</t>
        </is>
      </c>
      <c r="C30" s="9" t="n">
        <v>1</v>
      </c>
      <c r="D30" s="9" t="n">
        <v>0</v>
      </c>
      <c r="E30" s="9" t="n">
        <v>3</v>
      </c>
      <c r="F30" s="9">
        <f>IFERROR(MIN(C30,D30)*E30/C30,0)</f>
        <v/>
      </c>
      <c r="G30" s="9" t="n"/>
    </row>
    <row r="31" ht="14.15" customHeight="1">
      <c r="A31" s="14" t="n">
        <v>16</v>
      </c>
      <c r="B31" s="8" t="inlineStr">
        <is>
          <t>Runner</t>
        </is>
      </c>
      <c r="C31" s="9" t="n">
        <v>12</v>
      </c>
      <c r="D31" s="9" t="n">
        <v>0</v>
      </c>
      <c r="E31" s="9" t="n">
        <v>3</v>
      </c>
      <c r="F31" s="9">
        <f>IFERROR(MIN(C31,D31)*E31/C31,0)</f>
        <v/>
      </c>
      <c r="G31" s="9" t="n"/>
    </row>
    <row r="32" ht="14.15" customHeight="1">
      <c r="A32" s="14" t="n">
        <v>17</v>
      </c>
      <c r="B32" s="8" t="inlineStr">
        <is>
          <t>Waiter cloth</t>
        </is>
      </c>
      <c r="C32" s="9" t="n">
        <v>30</v>
      </c>
      <c r="D32" s="9" t="n">
        <v>0</v>
      </c>
      <c r="E32" s="9" t="n">
        <v>3</v>
      </c>
      <c r="F32" s="9">
        <f>IFERROR(MIN(C32,D32)*E32/C32,0)</f>
        <v/>
      </c>
      <c r="G32" s="9" t="n"/>
    </row>
    <row r="33" ht="14.15" customHeight="1">
      <c r="A33" s="14" t="n">
        <v>18</v>
      </c>
      <c r="B33" s="8" t="inlineStr">
        <is>
          <t>Duster</t>
        </is>
      </c>
      <c r="C33" s="9" t="n">
        <v>10</v>
      </c>
      <c r="D33" s="9" t="n">
        <v>0</v>
      </c>
      <c r="E33" s="9" t="n">
        <v>3</v>
      </c>
      <c r="F33" s="9">
        <f>IFERROR(MIN(C33,D33)*E33/C33,0)</f>
        <v/>
      </c>
      <c r="G33" s="9" t="n"/>
    </row>
    <row r="34" ht="14.15" customHeight="1">
      <c r="A34" s="14" t="n">
        <v>19</v>
      </c>
      <c r="B34" s="8" t="inlineStr">
        <is>
          <t>Bill folder</t>
        </is>
      </c>
      <c r="C34" s="9" t="n">
        <v>4</v>
      </c>
      <c r="D34" s="9" t="n">
        <v>0</v>
      </c>
      <c r="E34" s="9" t="n">
        <v>3</v>
      </c>
      <c r="F34" s="9">
        <f>IFERROR(MIN(C34,D34)*E34/C34,0)</f>
        <v/>
      </c>
      <c r="G34" s="9" t="n"/>
    </row>
    <row r="35" ht="14.15" customHeight="1">
      <c r="A35" s="14" t="n">
        <v>20</v>
      </c>
      <c r="B35" s="8" t="inlineStr">
        <is>
          <t>Menu card</t>
        </is>
      </c>
      <c r="C35" s="9" t="n">
        <v>16</v>
      </c>
      <c r="D35" s="9" t="n">
        <v>0</v>
      </c>
      <c r="E35" s="9" t="n">
        <v>3</v>
      </c>
      <c r="F35" s="9">
        <f>IFERROR(MIN(C35,D35)*E35/C35,0)</f>
        <v/>
      </c>
      <c r="G35" s="9" t="n"/>
    </row>
    <row r="36" ht="14.15" customHeight="1">
      <c r="A36" s="14" t="n">
        <v>21</v>
      </c>
      <c r="B36" s="8" t="inlineStr">
        <is>
          <t>KOT (Kitchen Order Token)</t>
        </is>
      </c>
      <c r="C36" s="9" t="n">
        <v>10</v>
      </c>
      <c r="D36" s="9" t="n">
        <v>0</v>
      </c>
      <c r="E36" s="9" t="n">
        <v>3</v>
      </c>
      <c r="F36" s="9">
        <f>IFERROR(MIN(C36,D36)*E36/C36,0)</f>
        <v/>
      </c>
      <c r="G36" s="9" t="n"/>
    </row>
    <row r="37" ht="14.15" customHeight="1">
      <c r="A37" s="14" t="n">
        <v>22</v>
      </c>
      <c r="B37" s="8" t="inlineStr">
        <is>
          <t>Bread basket</t>
        </is>
      </c>
      <c r="C37" s="9" t="n">
        <v>8</v>
      </c>
      <c r="D37" s="9" t="n">
        <v>0</v>
      </c>
      <c r="E37" s="9" t="n">
        <v>3</v>
      </c>
      <c r="F37" s="9">
        <f>IFERROR(MIN(C37,D37)*E37/C37,0)</f>
        <v/>
      </c>
      <c r="G37" s="9" t="n"/>
    </row>
    <row r="38" ht="14.15" customHeight="1">
      <c r="A38" s="14" t="n">
        <v>23</v>
      </c>
      <c r="B38" s="8" t="inlineStr">
        <is>
          <t>Service utensils (Tong, service spoon, service fork, soup ladle)</t>
        </is>
      </c>
      <c r="C38" s="9" t="n">
        <v>4</v>
      </c>
      <c r="D38" s="9" t="n">
        <v>0</v>
      </c>
      <c r="E38" s="9" t="n">
        <v>5</v>
      </c>
      <c r="F38" s="9">
        <f>IFERROR(MIN(C38,D38)*E38/C38,0)</f>
        <v/>
      </c>
      <c r="G38" s="9" t="n"/>
    </row>
    <row r="39" ht="14.15" customHeight="1">
      <c r="A39" s="14" t="n">
        <v>24</v>
      </c>
      <c r="B39" s="8" t="inlineStr">
        <is>
          <t>Salver tray</t>
        </is>
      </c>
      <c r="C39" s="9" t="n">
        <v>8</v>
      </c>
      <c r="D39" s="9" t="n">
        <v>0</v>
      </c>
      <c r="E39" s="9" t="n">
        <v>3</v>
      </c>
      <c r="F39" s="9">
        <f>IFERROR(MIN(C39,D39)*E39/C39,0)</f>
        <v/>
      </c>
      <c r="G39" s="9" t="n"/>
    </row>
    <row r="40" ht="14.15" customHeight="1">
      <c r="A40" s="14" t="n">
        <v>25</v>
      </c>
      <c r="B40" s="8" t="inlineStr">
        <is>
          <t>Long tray</t>
        </is>
      </c>
      <c r="C40" s="9" t="n">
        <v>4</v>
      </c>
      <c r="D40" s="9" t="n">
        <v>0</v>
      </c>
      <c r="E40" s="9" t="n">
        <v>3</v>
      </c>
      <c r="F40" s="9">
        <f>IFERROR(MIN(C40,D40)*E40/C40,0)</f>
        <v/>
      </c>
      <c r="G40" s="9" t="n"/>
    </row>
    <row r="41" ht="14.15" customHeight="1">
      <c r="A41" s="14" t="n">
        <v>26</v>
      </c>
      <c r="B41" s="8" t="inlineStr">
        <is>
          <t>Cruet set</t>
        </is>
      </c>
      <c r="C41" s="9" t="n">
        <v>4</v>
      </c>
      <c r="D41" s="9" t="n">
        <v>0</v>
      </c>
      <c r="E41" s="9" t="n">
        <v>3</v>
      </c>
      <c r="F41" s="9">
        <f>IFERROR(MIN(C41,D41)*E41/C41,0)</f>
        <v/>
      </c>
      <c r="G41" s="9" t="inlineStr">
        <is>
          <t>4 set</t>
        </is>
      </c>
    </row>
    <row r="42" ht="14.15" customHeight="1">
      <c r="A42" s="14" t="n">
        <v>27</v>
      </c>
      <c r="B42" s="8" t="inlineStr">
        <is>
          <t>Flower vase</t>
        </is>
      </c>
      <c r="C42" s="9" t="n">
        <v>4</v>
      </c>
      <c r="D42" s="9" t="n">
        <v>0</v>
      </c>
      <c r="E42" s="9" t="n">
        <v>3</v>
      </c>
      <c r="F42" s="9">
        <f>IFERROR(MIN(C42,D42)*E42/C42,0)</f>
        <v/>
      </c>
      <c r="G42" s="9" t="n"/>
    </row>
    <row r="43" ht="14.15" customHeight="1">
      <c r="A43" s="14" t="n">
        <v>28</v>
      </c>
      <c r="B43" s="8" t="inlineStr">
        <is>
          <t>Astray</t>
        </is>
      </c>
      <c r="C43" s="9" t="n">
        <v>4</v>
      </c>
      <c r="D43" s="9" t="n">
        <v>0</v>
      </c>
      <c r="E43" s="9" t="n">
        <v>3</v>
      </c>
      <c r="F43" s="9">
        <f>IFERROR(MIN(C43,D43)*E43/C43,0)</f>
        <v/>
      </c>
      <c r="G43" s="9" t="n"/>
    </row>
    <row r="44" ht="14.15" customHeight="1">
      <c r="A44" s="14" t="n">
        <v>29</v>
      </c>
      <c r="B44" s="8" t="inlineStr">
        <is>
          <t>Reserved tag</t>
        </is>
      </c>
      <c r="C44" s="9" t="n">
        <v>4</v>
      </c>
      <c r="D44" s="9" t="n">
        <v>0</v>
      </c>
      <c r="E44" s="9" t="n">
        <v>3</v>
      </c>
      <c r="F44" s="9">
        <f>IFERROR(MIN(C44,D44)*E44/C44,0)</f>
        <v/>
      </c>
      <c r="G44" s="9" t="n"/>
    </row>
    <row r="45" ht="14.15" customHeight="1">
      <c r="A45" s="14" t="n">
        <v>30</v>
      </c>
      <c r="B45" s="8" t="inlineStr">
        <is>
          <t>Logbook</t>
        </is>
      </c>
      <c r="C45" s="9" t="n">
        <v>1</v>
      </c>
      <c r="D45" s="9" t="n">
        <v>0</v>
      </c>
      <c r="E45" s="9" t="n">
        <v>3</v>
      </c>
      <c r="F45" s="9">
        <f>IFERROR(MIN(C45,D45)*E45/C45,0)</f>
        <v/>
      </c>
      <c r="G45" s="9" t="n"/>
    </row>
    <row r="46" ht="14.15" customHeight="1">
      <c r="A46" s="14" t="n">
        <v>31</v>
      </c>
      <c r="B46" s="8" t="inlineStr">
        <is>
          <t>Guest reservation register</t>
        </is>
      </c>
      <c r="C46" s="9" t="n">
        <v>1</v>
      </c>
      <c r="D46" s="9" t="n">
        <v>0</v>
      </c>
      <c r="E46" s="9" t="n">
        <v>3</v>
      </c>
      <c r="F46" s="9">
        <f>IFERROR(MIN(C46,D46)*E46/C46,0)</f>
        <v/>
      </c>
      <c r="G46" s="9" t="n"/>
    </row>
    <row r="47">
      <c r="A47" s="15" t="inlineStr">
        <is>
          <t>Sum</t>
        </is>
      </c>
      <c r="B47" s="11" t="n"/>
      <c r="C47" s="11" t="n"/>
      <c r="D47" s="12" t="n"/>
      <c r="E47" s="15">
        <f>SUM(E16:E46)</f>
        <v/>
      </c>
      <c r="F47" s="15">
        <f>SUM(F16:F46)</f>
        <v/>
      </c>
      <c r="G47" s="13" t="n"/>
    </row>
    <row r="48">
      <c r="A48" s="15" t="inlineStr">
        <is>
          <t>Score out of 100</t>
        </is>
      </c>
      <c r="B48" s="11" t="n"/>
      <c r="C48" s="11" t="n"/>
      <c r="D48" s="11" t="n"/>
      <c r="E48" s="12" t="n"/>
      <c r="F48" s="15">
        <f>F47/E47*100</f>
        <v/>
      </c>
      <c r="G48" s="13" t="n"/>
    </row>
    <row r="49" ht="9.75" customHeight="1"/>
    <row r="50">
      <c r="A50" s="15" t="inlineStr">
        <is>
          <t xml:space="preserve">Total achieved points out of 30  </t>
        </is>
      </c>
      <c r="B50" s="11" t="n"/>
      <c r="C50" s="11" t="n"/>
      <c r="D50" s="11" t="n"/>
      <c r="E50" s="12" t="n"/>
      <c r="F50" s="15">
        <f>F48*30/100</f>
        <v/>
      </c>
      <c r="G50" s="15" t="inlineStr">
        <is>
          <t>Points</t>
        </is>
      </c>
    </row>
  </sheetData>
  <mergeCells count="8">
    <mergeCell ref="A13:G13"/>
    <mergeCell ref="C7:G7"/>
    <mergeCell ref="A50:E50"/>
    <mergeCell ref="A1:G1"/>
    <mergeCell ref="A48:E48"/>
    <mergeCell ref="A47:D47"/>
    <mergeCell ref="C8:G8"/>
    <mergeCell ref="A49:G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2026-09-23T10:47:57Z</dcterms:modified>
</cp:coreProperties>
</file>
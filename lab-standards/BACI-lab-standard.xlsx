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onry &amp; Steel Binding" sheetId="1" state="visible" r:id="rId1"/>
    <sheet xmlns:r="http://schemas.openxmlformats.org/officeDocument/2006/relationships" name="Electrical Install &amp; Maint" sheetId="2" state="visible" r:id="rId2"/>
    <sheet xmlns:r="http://schemas.openxmlformats.org/officeDocument/2006/relationships" name="Plumbing and Pipe Fitting" sheetId="3" state="visible" r:id="rId3"/>
    <sheet xmlns:r="http://schemas.openxmlformats.org/officeDocument/2006/relationships" name="Tile and Marble Works" sheetId="4" state="visible" r:id="rId4"/>
    <sheet xmlns:r="http://schemas.openxmlformats.org/officeDocument/2006/relationships" name="Scaffolding" sheetId="5" state="visible" r:id="rId5"/>
    <sheet xmlns:r="http://schemas.openxmlformats.org/officeDocument/2006/relationships" name="HVAC"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Masonry and Steel Binding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Masonry and Steel Binding</t>
        </is>
      </c>
      <c r="C8" s="4" t="inlineStr">
        <is>
          <t>Classroom – 350 sft (33 sqm)
Workshop/ lab (Masonry) – 800 sft (75 sqm) and Workshop/ lab (Steel Binding) – 800 sft (75 sqm)
                     OR
Classroom cum workshop – 1500 sft (140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Masonry and Steel Binding,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Vibrator Machine</t>
        </is>
      </c>
      <c r="C18" s="9" t="n">
        <v>2</v>
      </c>
      <c r="D18" s="9" t="n">
        <v>0</v>
      </c>
      <c r="E18" s="9" t="n">
        <v>8</v>
      </c>
      <c r="F18" s="9">
        <f>IFERROR(MIN(C18,D18)*E18/C18,0)</f>
        <v/>
      </c>
      <c r="G18" s="9" t="n"/>
    </row>
    <row r="19" ht="14.15" customHeight="1">
      <c r="A19" s="7" t="n">
        <v>4</v>
      </c>
      <c r="B19" s="8" t="inlineStr">
        <is>
          <t>Trolley/ Van</t>
        </is>
      </c>
      <c r="C19" s="9" t="n">
        <v>1</v>
      </c>
      <c r="D19" s="9" t="n">
        <v>0</v>
      </c>
      <c r="E19" s="9" t="n">
        <v>4</v>
      </c>
      <c r="F19" s="9">
        <f>IFERROR(MIN(C19,D19)*E19/C19,0)</f>
        <v/>
      </c>
      <c r="G19" s="9" t="n"/>
    </row>
    <row r="20" ht="14.15" customHeight="1">
      <c r="A20" s="7" t="n">
        <v>5</v>
      </c>
      <c r="B20" s="8" t="inlineStr">
        <is>
          <t>Concrete Mixture Machine</t>
        </is>
      </c>
      <c r="C20" s="9" t="n">
        <v>1</v>
      </c>
      <c r="D20" s="9" t="n">
        <v>0</v>
      </c>
      <c r="E20" s="9" t="n">
        <v>9</v>
      </c>
      <c r="F20" s="9">
        <f>IFERROR(MIN(C20,D20)*E20/C20,0)</f>
        <v/>
      </c>
      <c r="G20" s="9" t="n"/>
    </row>
    <row r="21" ht="14.15" customHeight="1">
      <c r="A21" s="7" t="n">
        <v>6</v>
      </c>
      <c r="B21" s="8" t="inlineStr">
        <is>
          <t>Hammer Drill</t>
        </is>
      </c>
      <c r="C21" s="9" t="n">
        <v>1</v>
      </c>
      <c r="D21" s="9" t="n">
        <v>0</v>
      </c>
      <c r="E21" s="9" t="n">
        <v>6</v>
      </c>
      <c r="F21" s="9">
        <f>IFERROR(MIN(C21,D21)*E21/C21,0)</f>
        <v/>
      </c>
      <c r="G21" s="9" t="n"/>
    </row>
    <row r="22" ht="14.15" customHeight="1">
      <c r="A22" s="7" t="n">
        <v>7</v>
      </c>
      <c r="B22" s="8" t="inlineStr">
        <is>
          <t>Angle Grinder</t>
        </is>
      </c>
      <c r="C22" s="9" t="n">
        <v>5</v>
      </c>
      <c r="D22" s="9" t="n">
        <v>0</v>
      </c>
      <c r="E22" s="9" t="n">
        <v>6</v>
      </c>
      <c r="F22" s="9">
        <f>IFERROR(MIN(C22,D22)*E22/C22,0)</f>
        <v/>
      </c>
      <c r="G22" s="9" t="n"/>
    </row>
    <row r="23" ht="14.15" customHeight="1">
      <c r="A23" s="7" t="n">
        <v>8</v>
      </c>
      <c r="B23" s="8" t="inlineStr">
        <is>
          <t>Rod Bending Machine (Hydraulic)</t>
        </is>
      </c>
      <c r="C23" s="9" t="n">
        <v>1</v>
      </c>
      <c r="D23" s="9" t="n">
        <v>0</v>
      </c>
      <c r="E23" s="9" t="n">
        <v>9</v>
      </c>
      <c r="F23" s="9">
        <f>IFERROR(MIN(C23,D23)*E23/C23,0)</f>
        <v/>
      </c>
      <c r="G23" s="9" t="n"/>
    </row>
    <row r="24" ht="14.15" customHeight="1">
      <c r="A24" s="7" t="n">
        <v>9</v>
      </c>
      <c r="B24" s="8" t="inlineStr">
        <is>
          <t>Rod Bending Station</t>
        </is>
      </c>
      <c r="C24" s="9" t="n">
        <v>25</v>
      </c>
      <c r="D24" s="9" t="n">
        <v>0</v>
      </c>
      <c r="E24" s="9" t="n">
        <v>8</v>
      </c>
      <c r="F24" s="9">
        <f>IFERROR(MIN(C24,D24)*E24/C24,0)</f>
        <v/>
      </c>
      <c r="G24" s="9" t="n"/>
    </row>
    <row r="25" ht="14.15" customHeight="1">
      <c r="A25" s="7" t="n">
        <v>10</v>
      </c>
      <c r="B25" s="8" t="inlineStr">
        <is>
          <t>Rod Binding Machine</t>
        </is>
      </c>
      <c r="C25" s="9" t="n">
        <v>2</v>
      </c>
      <c r="D25" s="9" t="n">
        <v>0</v>
      </c>
      <c r="E25" s="9" t="n">
        <v>8</v>
      </c>
      <c r="F25" s="9">
        <f>IFERROR(MIN(C25,D25)*E25/C25,0)</f>
        <v/>
      </c>
      <c r="G25" s="9" t="n"/>
    </row>
    <row r="26" ht="14.15" customHeight="1">
      <c r="A26" s="7" t="n">
        <v>11</v>
      </c>
      <c r="B26" s="8" t="inlineStr">
        <is>
          <t>Portable arc welding machine</t>
        </is>
      </c>
      <c r="C26" s="9" t="n">
        <v>1</v>
      </c>
      <c r="D26" s="9" t="n">
        <v>0</v>
      </c>
      <c r="E26" s="9" t="n">
        <v>6</v>
      </c>
      <c r="F26" s="9">
        <f>IFERROR(MIN(C26,D26)*E26/C26,0)</f>
        <v/>
      </c>
      <c r="G26" s="9" t="n"/>
    </row>
    <row r="27">
      <c r="A27" s="10" t="inlineStr">
        <is>
          <t>Sum</t>
        </is>
      </c>
      <c r="B27" s="11" t="n"/>
      <c r="C27" s="11" t="n"/>
      <c r="D27" s="12" t="n"/>
      <c r="E27" s="10">
        <f>SUM(E16:E26)</f>
        <v/>
      </c>
      <c r="F27" s="10">
        <f>SUM(F16:F26)</f>
        <v/>
      </c>
      <c r="G27" s="13" t="n"/>
    </row>
    <row r="28">
      <c r="A28" s="10" t="inlineStr">
        <is>
          <t>Score out of 100</t>
        </is>
      </c>
      <c r="B28" s="11" t="n"/>
      <c r="C28" s="11" t="n"/>
      <c r="D28" s="11" t="n"/>
      <c r="E28" s="12" t="n"/>
      <c r="F28" s="10">
        <f>F27/E27*100</f>
        <v/>
      </c>
      <c r="G28" s="13" t="n"/>
    </row>
    <row r="29" ht="9.75" customHeight="1"/>
    <row r="30">
      <c r="A30" s="10" t="inlineStr">
        <is>
          <t xml:space="preserve">Total achieved points out of 30  </t>
        </is>
      </c>
      <c r="B30" s="11" t="n"/>
      <c r="C30" s="11" t="n"/>
      <c r="D30" s="11" t="n"/>
      <c r="E30" s="12" t="n"/>
      <c r="F30" s="10">
        <f>F28*30/100</f>
        <v/>
      </c>
      <c r="G30" s="10" t="inlineStr">
        <is>
          <t>Points</t>
        </is>
      </c>
    </row>
  </sheetData>
  <mergeCells count="8">
    <mergeCell ref="A30:E30"/>
    <mergeCell ref="A13:G13"/>
    <mergeCell ref="C7:G7"/>
    <mergeCell ref="A27:D27"/>
    <mergeCell ref="A1:G1"/>
    <mergeCell ref="A28:E28"/>
    <mergeCell ref="A29:G29"/>
    <mergeCell ref="C8:G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Electrical Installation &amp; Maintenance (Construction)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Electrical Installation &amp; Maintenance (Construction)</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Electrical Installation &amp; Maintenance (Construction),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Channel wiring practice board/booth</t>
        </is>
      </c>
      <c r="C18" s="9" t="n">
        <v>25</v>
      </c>
      <c r="D18" s="9" t="n">
        <v>0</v>
      </c>
      <c r="E18" s="9" t="n">
        <v>8</v>
      </c>
      <c r="F18" s="9">
        <f>IFERROR(MIN(C18,D18)*E18/C18,0)</f>
        <v/>
      </c>
      <c r="G18" s="9" t="n"/>
    </row>
    <row r="19" ht="14.15" customHeight="1">
      <c r="A19" s="7" t="n">
        <v>4</v>
      </c>
      <c r="B19" s="8" t="inlineStr">
        <is>
          <t>Concealed wiring practice booth/wall</t>
        </is>
      </c>
      <c r="C19" s="9" t="n">
        <v>5</v>
      </c>
      <c r="D19" s="9" t="n">
        <v>0</v>
      </c>
      <c r="E19" s="9" t="n">
        <v>8</v>
      </c>
      <c r="F19" s="9">
        <f>IFERROR(MIN(C19,D19)*E19/C19,0)</f>
        <v/>
      </c>
      <c r="G19" s="9" t="n"/>
    </row>
    <row r="20" ht="14.15" customHeight="1">
      <c r="A20" s="7" t="n">
        <v>5</v>
      </c>
      <c r="B20" s="8" t="inlineStr">
        <is>
          <t>Main Distribution Board with busbar, CB and other accessories (Training model)</t>
        </is>
      </c>
      <c r="C20" s="9" t="n">
        <v>5</v>
      </c>
      <c r="D20" s="9" t="n">
        <v>0</v>
      </c>
      <c r="E20" s="9" t="n">
        <v>8</v>
      </c>
      <c r="F20" s="9">
        <f>IFERROR(MIN(C20,D20)*E20/C20,0)</f>
        <v/>
      </c>
      <c r="G20" s="9" t="n"/>
    </row>
    <row r="21" ht="14.15" customHeight="1">
      <c r="A21" s="7" t="n">
        <v>6</v>
      </c>
      <c r="B21" s="8" t="inlineStr">
        <is>
          <t>Sub Distribution Board with busbar, CB and other accessories (Training model)</t>
        </is>
      </c>
      <c r="C21" s="9" t="n">
        <v>5</v>
      </c>
      <c r="D21" s="9" t="n">
        <v>0</v>
      </c>
      <c r="E21" s="9" t="n">
        <v>8</v>
      </c>
      <c r="F21" s="9">
        <f>IFERROR(MIN(C21,D21)*E21/C21,0)</f>
        <v/>
      </c>
      <c r="G21" s="9" t="n"/>
    </row>
    <row r="22" ht="14.15" customHeight="1">
      <c r="A22" s="7" t="n">
        <v>7</v>
      </c>
      <c r="B22" s="8" t="inlineStr">
        <is>
          <t>DOL Starter</t>
        </is>
      </c>
      <c r="C22" s="9" t="n">
        <v>10</v>
      </c>
      <c r="D22" s="9" t="n">
        <v>0</v>
      </c>
      <c r="E22" s="9" t="n">
        <v>7</v>
      </c>
      <c r="F22" s="9">
        <f>IFERROR(MIN(C22,D22)*E22/C22,0)</f>
        <v/>
      </c>
      <c r="G22" s="9" t="n"/>
    </row>
    <row r="23" ht="14.15" customHeight="1">
      <c r="A23" s="7" t="n">
        <v>8</v>
      </c>
      <c r="B23" s="8" t="inlineStr">
        <is>
          <t>Generator (2 to 5 KW)</t>
        </is>
      </c>
      <c r="C23" s="9" t="n">
        <v>1</v>
      </c>
      <c r="D23" s="9" t="n">
        <v>0</v>
      </c>
      <c r="E23" s="9" t="n">
        <v>8</v>
      </c>
      <c r="F23" s="9">
        <f>IFERROR(MIN(C23,D23)*E23/C23,0)</f>
        <v/>
      </c>
      <c r="G23" s="9" t="n"/>
    </row>
    <row r="24" ht="14.15" customHeight="1">
      <c r="A24" s="7" t="n">
        <v>9</v>
      </c>
      <c r="B24" s="8" t="inlineStr">
        <is>
          <t>ATS</t>
        </is>
      </c>
      <c r="C24" s="9" t="n">
        <v>3</v>
      </c>
      <c r="D24" s="9" t="n">
        <v>0</v>
      </c>
      <c r="E24" s="9" t="n">
        <v>6</v>
      </c>
      <c r="F24" s="9">
        <f>IFERROR(MIN(C24,D24)*E24/C24,0)</f>
        <v/>
      </c>
      <c r="G24" s="9" t="n"/>
    </row>
    <row r="25" ht="14.15" customHeight="1">
      <c r="A25" s="7" t="n">
        <v>10</v>
      </c>
      <c r="B25" s="8" t="inlineStr">
        <is>
          <t>Changeover switch</t>
        </is>
      </c>
      <c r="C25" s="9" t="n">
        <v>3</v>
      </c>
      <c r="D25" s="9" t="n">
        <v>0</v>
      </c>
      <c r="E25" s="9" t="n">
        <v>5</v>
      </c>
      <c r="F25" s="9">
        <f>IFERROR(MIN(C25,D25)*E25/C25,0)</f>
        <v/>
      </c>
      <c r="G25" s="9" t="n"/>
    </row>
    <row r="26" ht="14.15" customHeight="1">
      <c r="A26" s="7" t="n">
        <v>11</v>
      </c>
      <c r="B26" s="8" t="inlineStr">
        <is>
          <t>Solar power system (Solar panel, battery, charge controller and load)</t>
        </is>
      </c>
      <c r="C26" s="9" t="n">
        <v>5</v>
      </c>
      <c r="D26" s="9" t="n">
        <v>0</v>
      </c>
      <c r="E26" s="9" t="n">
        <v>8</v>
      </c>
      <c r="F26" s="9">
        <f>IFERROR(MIN(C26,D26)*E26/C26,0)</f>
        <v/>
      </c>
      <c r="G26" s="9" t="n"/>
    </row>
    <row r="27" ht="14.15" customHeight="1">
      <c r="A27" s="7" t="n">
        <v>12</v>
      </c>
      <c r="B27" s="8" t="inlineStr">
        <is>
          <t>Electric drill machine</t>
        </is>
      </c>
      <c r="C27" s="9" t="n">
        <v>10</v>
      </c>
      <c r="D27" s="9" t="n">
        <v>0</v>
      </c>
      <c r="E27" s="9" t="n">
        <v>5</v>
      </c>
      <c r="F27" s="9">
        <f>IFERROR(MIN(C27,D27)*E27/C27,0)</f>
        <v/>
      </c>
      <c r="G27" s="9" t="n"/>
    </row>
    <row r="28" ht="14.15" customHeight="1">
      <c r="A28" s="7" t="n">
        <v>13</v>
      </c>
      <c r="B28" s="8" t="inlineStr">
        <is>
          <t>Electric grinding machine</t>
        </is>
      </c>
      <c r="C28" s="9" t="n">
        <v>10</v>
      </c>
      <c r="D28" s="9" t="n">
        <v>0</v>
      </c>
      <c r="E28" s="9" t="n">
        <v>5</v>
      </c>
      <c r="F28" s="9">
        <f>IFERROR(MIN(C28,D28)*E28/C28,0)</f>
        <v/>
      </c>
      <c r="G28" s="9" t="n"/>
    </row>
    <row r="29" ht="14.15" customHeight="1">
      <c r="A29" s="7" t="n">
        <v>14</v>
      </c>
      <c r="B29" s="8" t="inlineStr">
        <is>
          <t>Energy Meter (1 Phase)</t>
        </is>
      </c>
      <c r="C29" s="9" t="n">
        <v>10</v>
      </c>
      <c r="D29" s="9" t="n">
        <v>0</v>
      </c>
      <c r="E29" s="9" t="n">
        <v>6</v>
      </c>
      <c r="F29" s="9">
        <f>IFERROR(MIN(C29,D29)*E29/C29,0)</f>
        <v/>
      </c>
      <c r="G29" s="9" t="n"/>
    </row>
    <row r="30" ht="14.15" customHeight="1">
      <c r="A30" s="7" t="n">
        <v>15</v>
      </c>
      <c r="B30" s="8" t="inlineStr">
        <is>
          <t>Energy Meter (3 Phase)</t>
        </is>
      </c>
      <c r="C30" s="9" t="n">
        <v>5</v>
      </c>
      <c r="D30" s="9" t="n">
        <v>0</v>
      </c>
      <c r="E30" s="9" t="n">
        <v>6</v>
      </c>
      <c r="F30" s="9">
        <f>IFERROR(MIN(C30,D30)*E30/C30,0)</f>
        <v/>
      </c>
      <c r="G30" s="9" t="n"/>
    </row>
    <row r="31" ht="14.15" customHeight="1">
      <c r="A31" s="7" t="n">
        <v>16</v>
      </c>
      <c r="B31" s="8" t="inlineStr">
        <is>
          <t>Earth tester</t>
        </is>
      </c>
      <c r="C31" s="9" t="n">
        <v>2</v>
      </c>
      <c r="D31" s="9" t="n">
        <v>0</v>
      </c>
      <c r="E31" s="9" t="n">
        <v>6</v>
      </c>
      <c r="F31" s="9">
        <f>IFERROR(MIN(C31,D31)*E31/C31,0)</f>
        <v/>
      </c>
      <c r="G31" s="9" t="n"/>
    </row>
    <row r="32" ht="14.15" customHeight="1">
      <c r="A32" s="7" t="n">
        <v>17</v>
      </c>
      <c r="B32" s="8" t="inlineStr">
        <is>
          <t>Megger</t>
        </is>
      </c>
      <c r="C32" s="9" t="n">
        <v>2</v>
      </c>
      <c r="D32" s="9" t="n">
        <v>0</v>
      </c>
      <c r="E32" s="9" t="n">
        <v>6</v>
      </c>
      <c r="F32" s="9">
        <f>IFERROR(MIN(C32,D32)*E32/C32,0)</f>
        <v/>
      </c>
      <c r="G32" s="9" t="n"/>
    </row>
    <row r="33" ht="14.15" customHeight="1">
      <c r="A33" s="7" t="n">
        <v>18</v>
      </c>
      <c r="B33" s="8" t="inlineStr">
        <is>
          <t>Phase sequence meter</t>
        </is>
      </c>
      <c r="C33" s="9" t="n">
        <v>1</v>
      </c>
      <c r="D33" s="9" t="n">
        <v>0</v>
      </c>
      <c r="E33" s="9" t="n">
        <v>5</v>
      </c>
      <c r="F33" s="9">
        <f>IFERROR(MIN(C33,D33)*E33/C33,0)</f>
        <v/>
      </c>
      <c r="G33" s="9" t="n"/>
    </row>
    <row r="34" ht="14.15" customHeight="1">
      <c r="A34" s="7" t="n">
        <v>19</v>
      </c>
      <c r="B34" s="8" t="inlineStr">
        <is>
          <t>Single phase induction motor</t>
        </is>
      </c>
      <c r="C34" s="9" t="n">
        <v>5</v>
      </c>
      <c r="D34" s="9" t="n">
        <v>0</v>
      </c>
      <c r="E34" s="9" t="n">
        <v>7</v>
      </c>
      <c r="F34" s="9">
        <f>IFERROR(MIN(C34,D34)*E34/C34,0)</f>
        <v/>
      </c>
      <c r="G34" s="9" t="n"/>
    </row>
    <row r="35" ht="14.15" customHeight="1">
      <c r="A35" s="7" t="n">
        <v>20</v>
      </c>
      <c r="B35" s="8" t="inlineStr">
        <is>
          <t>Three phase induction motor</t>
        </is>
      </c>
      <c r="C35" s="9" t="n">
        <v>3</v>
      </c>
      <c r="D35" s="9" t="n">
        <v>0</v>
      </c>
      <c r="E35" s="9" t="n">
        <v>7</v>
      </c>
      <c r="F35" s="9">
        <f>IFERROR(MIN(C35,D35)*E35/C35,0)</f>
        <v/>
      </c>
      <c r="G35" s="9" t="n"/>
    </row>
    <row r="36" ht="14.15" customHeight="1">
      <c r="A36" s="7" t="n">
        <v>21</v>
      </c>
      <c r="B36" s="8" t="inlineStr">
        <is>
          <t>Ceiling fan</t>
        </is>
      </c>
      <c r="C36" s="9" t="n">
        <v>5</v>
      </c>
      <c r="D36" s="9" t="n">
        <v>0</v>
      </c>
      <c r="E36" s="9" t="n">
        <v>4</v>
      </c>
      <c r="F36" s="9">
        <f>IFERROR(MIN(C36,D36)*E36/C36,0)</f>
        <v/>
      </c>
      <c r="G36" s="9" t="n"/>
    </row>
    <row r="37" ht="14.15" customHeight="1">
      <c r="A37" s="7" t="n">
        <v>22</v>
      </c>
      <c r="B37" s="8" t="inlineStr">
        <is>
          <t>Pump Motor</t>
        </is>
      </c>
      <c r="C37" s="9" t="n">
        <v>2</v>
      </c>
      <c r="D37" s="9" t="n">
        <v>0</v>
      </c>
      <c r="E37" s="9" t="n">
        <v>6</v>
      </c>
      <c r="F37" s="9">
        <f>IFERROR(MIN(C37,D37)*E37/C37,0)</f>
        <v/>
      </c>
      <c r="G37" s="9" t="n"/>
    </row>
    <row r="38" ht="14.15" customHeight="1">
      <c r="A38" s="7" t="n">
        <v>23</v>
      </c>
      <c r="B38" s="8" t="inlineStr">
        <is>
          <t>Bench Vice</t>
        </is>
      </c>
      <c r="C38" s="9" t="n">
        <v>5</v>
      </c>
      <c r="D38" s="9" t="n">
        <v>0</v>
      </c>
      <c r="E38" s="9" t="n">
        <v>4</v>
      </c>
      <c r="F38" s="9">
        <f>IFERROR(MIN(C38,D38)*E38/C38,0)</f>
        <v/>
      </c>
      <c r="G38" s="9" t="n"/>
    </row>
    <row r="39">
      <c r="A39" s="10" t="inlineStr">
        <is>
          <t>Sum</t>
        </is>
      </c>
      <c r="B39" s="11" t="n"/>
      <c r="C39" s="11" t="n"/>
      <c r="D39" s="12" t="n"/>
      <c r="E39" s="10">
        <f>SUM(E16:E38)</f>
        <v/>
      </c>
      <c r="F39" s="10">
        <f>SUM(F16:F38)</f>
        <v/>
      </c>
      <c r="G39" s="13" t="n"/>
    </row>
    <row r="40">
      <c r="A40" s="10" t="inlineStr">
        <is>
          <t>Score out of 100</t>
        </is>
      </c>
      <c r="B40" s="11" t="n"/>
      <c r="C40" s="11" t="n"/>
      <c r="D40" s="11" t="n"/>
      <c r="E40" s="12" t="n"/>
      <c r="F40" s="10">
        <f>F39/E39*100</f>
        <v/>
      </c>
      <c r="G40" s="13" t="n"/>
    </row>
    <row r="41" ht="9.75" customHeight="1"/>
    <row r="42">
      <c r="A42" s="10" t="inlineStr">
        <is>
          <t xml:space="preserve">Total achieved points out of 30  </t>
        </is>
      </c>
      <c r="B42" s="11" t="n"/>
      <c r="C42" s="11" t="n"/>
      <c r="D42" s="11" t="n"/>
      <c r="E42" s="12" t="n"/>
      <c r="F42" s="10">
        <f>F40*30/100</f>
        <v/>
      </c>
      <c r="G42" s="10" t="inlineStr">
        <is>
          <t>Points</t>
        </is>
      </c>
    </row>
    <row r="43" ht="28.3" customHeight="1">
      <c r="A43" s="5" t="inlineStr">
        <is>
          <t>* For this course, the institute should have at least 15 channel wiring boards/booths and 3 concealed wiring booths. Otherwise, the total points achieved will be halved.</t>
        </is>
      </c>
    </row>
  </sheetData>
  <mergeCells count="9">
    <mergeCell ref="A13:G13"/>
    <mergeCell ref="C7:G7"/>
    <mergeCell ref="A1:G1"/>
    <mergeCell ref="A42:E42"/>
    <mergeCell ref="A39:D39"/>
    <mergeCell ref="A43:G43"/>
    <mergeCell ref="A41:G41"/>
    <mergeCell ref="C8:G8"/>
    <mergeCell ref="A40:E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Plumbing and Pipe Fitting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Plumbing and Pipe Fitting</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Plumbing and Pipe Fitting,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 with internet facility</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Plumbing workstation/ booth with fitting fixture installation facility</t>
        </is>
      </c>
      <c r="C18" s="9" t="n">
        <v>5</v>
      </c>
      <c r="D18" s="9" t="n">
        <v>0</v>
      </c>
      <c r="E18" s="9" t="n">
        <v>9</v>
      </c>
      <c r="F18" s="9">
        <f>IFERROR(MIN(C18,D18)*E18/C18,0)</f>
        <v/>
      </c>
      <c r="G18" s="9" t="n"/>
    </row>
    <row r="19" ht="14.15" customHeight="1">
      <c r="A19" s="7" t="n">
        <v>4</v>
      </c>
      <c r="B19" s="8" t="inlineStr">
        <is>
          <t>Kitchen Sink</t>
        </is>
      </c>
      <c r="C19" s="9" t="n">
        <v>2</v>
      </c>
      <c r="D19" s="9" t="n">
        <v>0</v>
      </c>
      <c r="E19" s="9" t="n">
        <v>6</v>
      </c>
      <c r="F19" s="9">
        <f>IFERROR(MIN(C19,D19)*E19/C19,0)</f>
        <v/>
      </c>
      <c r="G19" s="9" t="n"/>
    </row>
    <row r="20" ht="14.15" customHeight="1">
      <c r="A20" s="7" t="n">
        <v>5</v>
      </c>
      <c r="B20" s="8" t="inlineStr">
        <is>
          <t>Water Basin</t>
        </is>
      </c>
      <c r="C20" s="9" t="n">
        <v>5</v>
      </c>
      <c r="D20" s="9" t="n">
        <v>0</v>
      </c>
      <c r="E20" s="9" t="n">
        <v>6</v>
      </c>
      <c r="F20" s="9">
        <f>IFERROR(MIN(C20,D20)*E20/C20,0)</f>
        <v/>
      </c>
      <c r="G20" s="9" t="n"/>
    </row>
    <row r="21" ht="14.15" customHeight="1">
      <c r="A21" s="7" t="n">
        <v>6</v>
      </c>
      <c r="B21" s="8" t="inlineStr">
        <is>
          <t>Western commode</t>
        </is>
      </c>
      <c r="C21" s="9" t="n">
        <v>5</v>
      </c>
      <c r="D21" s="9" t="n">
        <v>0</v>
      </c>
      <c r="E21" s="9" t="n">
        <v>7</v>
      </c>
      <c r="F21" s="9">
        <f>IFERROR(MIN(C21,D21)*E21/C21,0)</f>
        <v/>
      </c>
      <c r="G21" s="9" t="n"/>
    </row>
    <row r="22" ht="14.15" customHeight="1">
      <c r="A22" s="7" t="n">
        <v>7</v>
      </c>
      <c r="B22" s="8" t="inlineStr">
        <is>
          <t>Asian commode</t>
        </is>
      </c>
      <c r="C22" s="9" t="n">
        <v>5</v>
      </c>
      <c r="D22" s="9" t="n">
        <v>0</v>
      </c>
      <c r="E22" s="9" t="n">
        <v>7</v>
      </c>
      <c r="F22" s="9">
        <f>IFERROR(MIN(C22,D22)*E22/C22,0)</f>
        <v/>
      </c>
      <c r="G22" s="9" t="n"/>
    </row>
    <row r="23" ht="14.15" customHeight="1">
      <c r="A23" s="7" t="n">
        <v>8</v>
      </c>
      <c r="B23" s="8" t="inlineStr">
        <is>
          <t>Urinal</t>
        </is>
      </c>
      <c r="C23" s="9" t="n">
        <v>2</v>
      </c>
      <c r="D23" s="9" t="n">
        <v>0</v>
      </c>
      <c r="E23" s="9" t="n">
        <v>5</v>
      </c>
      <c r="F23" s="9">
        <f>IFERROR(MIN(C23,D23)*E23/C23,0)</f>
        <v/>
      </c>
      <c r="G23" s="9" t="n"/>
    </row>
    <row r="24" ht="14.15" customHeight="1">
      <c r="A24" s="7" t="n">
        <v>9</v>
      </c>
      <c r="B24" s="8" t="inlineStr">
        <is>
          <t>Shower unit</t>
        </is>
      </c>
      <c r="C24" s="9" t="n">
        <v>5</v>
      </c>
      <c r="D24" s="9" t="n">
        <v>0</v>
      </c>
      <c r="E24" s="9" t="n">
        <v>6</v>
      </c>
      <c r="F24" s="9">
        <f>IFERROR(MIN(C24,D24)*E24/C24,0)</f>
        <v/>
      </c>
      <c r="G24" s="9" t="n"/>
    </row>
    <row r="25" ht="14.15" customHeight="1">
      <c r="A25" s="7" t="n">
        <v>10</v>
      </c>
      <c r="B25" s="8" t="inlineStr">
        <is>
          <t>Bath tub</t>
        </is>
      </c>
      <c r="C25" s="9" t="n">
        <v>1</v>
      </c>
      <c r="D25" s="9" t="n">
        <v>0</v>
      </c>
      <c r="E25" s="9" t="n">
        <v>5</v>
      </c>
      <c r="F25" s="9">
        <f>IFERROR(MIN(C25,D25)*E25/C25,0)</f>
        <v/>
      </c>
      <c r="G25" s="9" t="n"/>
    </row>
    <row r="26" ht="14.15" customHeight="1">
      <c r="A26" s="7" t="n">
        <v>11</v>
      </c>
      <c r="B26" s="8" t="inlineStr">
        <is>
          <t>Geyser</t>
        </is>
      </c>
      <c r="C26" s="9" t="n">
        <v>2</v>
      </c>
      <c r="D26" s="9" t="n">
        <v>0</v>
      </c>
      <c r="E26" s="9" t="n">
        <v>5</v>
      </c>
      <c r="F26" s="9">
        <f>IFERROR(MIN(C26,D26)*E26/C26,0)</f>
        <v/>
      </c>
      <c r="G26" s="9" t="n"/>
    </row>
    <row r="27" ht="14.15" customHeight="1">
      <c r="A27" s="7" t="n">
        <v>12</v>
      </c>
      <c r="B27" s="8" t="inlineStr">
        <is>
          <t>Hot and cold-water mixer tap</t>
        </is>
      </c>
      <c r="C27" s="9" t="n">
        <v>5</v>
      </c>
      <c r="D27" s="9" t="n">
        <v>0</v>
      </c>
      <c r="E27" s="9" t="n">
        <v>4</v>
      </c>
      <c r="F27" s="9">
        <f>IFERROR(MIN(C27,D27)*E27/C27,0)</f>
        <v/>
      </c>
      <c r="G27" s="9" t="n"/>
    </row>
    <row r="28" ht="14.15" customHeight="1">
      <c r="A28" s="7" t="n">
        <v>13</v>
      </c>
      <c r="B28" s="8" t="inlineStr">
        <is>
          <t>Pipe vice (with stand/ work table)</t>
        </is>
      </c>
      <c r="C28" s="9" t="n">
        <v>16</v>
      </c>
      <c r="D28" s="9" t="n">
        <v>0</v>
      </c>
      <c r="E28" s="9" t="n">
        <v>8</v>
      </c>
      <c r="F28" s="9">
        <f>IFERROR(MIN(C28,D28)*E28/C28,0)</f>
        <v/>
      </c>
      <c r="G28" s="9" t="n"/>
    </row>
    <row r="29" ht="14.15" customHeight="1">
      <c r="A29" s="7" t="n">
        <v>14</v>
      </c>
      <c r="B29" s="8" t="inlineStr">
        <is>
          <t>Pipe threading machine</t>
        </is>
      </c>
      <c r="C29" s="9" t="n">
        <v>1</v>
      </c>
      <c r="D29" s="9" t="n">
        <v>0</v>
      </c>
      <c r="E29" s="9" t="n">
        <v>8</v>
      </c>
      <c r="F29" s="9">
        <f>IFERROR(MIN(C29,D29)*E29/C29,0)</f>
        <v/>
      </c>
      <c r="G29" s="9" t="n"/>
    </row>
    <row r="30" ht="14.15" customHeight="1">
      <c r="A30" s="7" t="n">
        <v>15</v>
      </c>
      <c r="B30" s="8" t="inlineStr">
        <is>
          <t>Thread cutter</t>
        </is>
      </c>
      <c r="C30" s="9" t="n">
        <v>16</v>
      </c>
      <c r="D30" s="9" t="n">
        <v>0</v>
      </c>
      <c r="E30" s="9" t="n">
        <v>6</v>
      </c>
      <c r="F30" s="9">
        <f>IFERROR(MIN(C30,D30)*E30/C30,0)</f>
        <v/>
      </c>
      <c r="G30" s="9" t="n"/>
    </row>
    <row r="31" ht="14.15" customHeight="1">
      <c r="A31" s="7" t="n">
        <v>16</v>
      </c>
      <c r="B31" s="8" t="inlineStr">
        <is>
          <t>Angle grinder</t>
        </is>
      </c>
      <c r="C31" s="9" t="n">
        <v>10</v>
      </c>
      <c r="D31" s="9" t="n">
        <v>0</v>
      </c>
      <c r="E31" s="9" t="n">
        <v>6</v>
      </c>
      <c r="F31" s="9">
        <f>IFERROR(MIN(C31,D31)*E31/C31,0)</f>
        <v/>
      </c>
      <c r="G31" s="9" t="n"/>
    </row>
    <row r="32" ht="14.15" customHeight="1">
      <c r="A32" s="7" t="n">
        <v>17</v>
      </c>
      <c r="B32" s="8" t="inlineStr">
        <is>
          <t>Pedestal grinder</t>
        </is>
      </c>
      <c r="C32" s="9" t="n">
        <v>2</v>
      </c>
      <c r="D32" s="9" t="n">
        <v>0</v>
      </c>
      <c r="E32" s="9" t="n">
        <v>5</v>
      </c>
      <c r="F32" s="9">
        <f>IFERROR(MIN(C32,D32)*E32/C32,0)</f>
        <v/>
      </c>
      <c r="G32" s="9" t="n"/>
    </row>
    <row r="33" ht="14.15" customHeight="1">
      <c r="A33" s="7" t="n">
        <v>18</v>
      </c>
      <c r="B33" s="8" t="inlineStr">
        <is>
          <t>Hammer drill machine</t>
        </is>
      </c>
      <c r="C33" s="9" t="n">
        <v>5</v>
      </c>
      <c r="D33" s="9" t="n">
        <v>0</v>
      </c>
      <c r="E33" s="9" t="n">
        <v>6</v>
      </c>
      <c r="F33" s="9">
        <f>IFERROR(MIN(C33,D33)*E33/C33,0)</f>
        <v/>
      </c>
      <c r="G33" s="9" t="n"/>
    </row>
    <row r="34" ht="14.15" customHeight="1">
      <c r="A34" s="7" t="n">
        <v>19</v>
      </c>
      <c r="B34" s="8" t="inlineStr">
        <is>
          <t>PPR welding machine</t>
        </is>
      </c>
      <c r="C34" s="9" t="n">
        <v>5</v>
      </c>
      <c r="D34" s="9" t="n">
        <v>0</v>
      </c>
      <c r="E34" s="9" t="n">
        <v>8</v>
      </c>
      <c r="F34" s="9">
        <f>IFERROR(MIN(C34,D34)*E34/C34,0)</f>
        <v/>
      </c>
      <c r="G34" s="9" t="n"/>
    </row>
    <row r="35" ht="14.15" customHeight="1">
      <c r="A35" s="7" t="n">
        <v>20</v>
      </c>
      <c r="B35" s="8" t="inlineStr">
        <is>
          <t>Core cutting machine</t>
        </is>
      </c>
      <c r="C35" s="9" t="n">
        <v>1</v>
      </c>
      <c r="D35" s="9" t="n">
        <v>0</v>
      </c>
      <c r="E35" s="9" t="n">
        <v>6</v>
      </c>
      <c r="F35" s="9">
        <f>IFERROR(MIN(C35,D35)*E35/C35,0)</f>
        <v/>
      </c>
      <c r="G35" s="9" t="n"/>
    </row>
    <row r="36" ht="14.15" customHeight="1">
      <c r="A36" s="7" t="n">
        <v>21</v>
      </c>
      <c r="B36" s="8" t="inlineStr">
        <is>
          <t>Plastic septic tank</t>
        </is>
      </c>
      <c r="C36" s="9" t="n">
        <v>1</v>
      </c>
      <c r="D36" s="9" t="n">
        <v>0</v>
      </c>
      <c r="E36" s="9" t="n">
        <v>5</v>
      </c>
      <c r="F36" s="9">
        <f>IFERROR(MIN(C36,D36)*E36/C36,0)</f>
        <v/>
      </c>
      <c r="G36" s="9" t="n"/>
    </row>
    <row r="37" ht="14.15" customHeight="1">
      <c r="A37" s="7" t="n">
        <v>22</v>
      </c>
      <c r="B37" s="8" t="inlineStr">
        <is>
          <t>Water pump</t>
        </is>
      </c>
      <c r="C37" s="9" t="n">
        <v>5</v>
      </c>
      <c r="D37" s="9" t="n">
        <v>0</v>
      </c>
      <c r="E37" s="9" t="n">
        <v>7</v>
      </c>
      <c r="F37" s="9">
        <f>IFERROR(MIN(C37,D37)*E37/C37,0)</f>
        <v/>
      </c>
      <c r="G37" s="9" t="n"/>
    </row>
    <row r="38" ht="14.15" customHeight="1">
      <c r="A38" s="7" t="n">
        <v>23</v>
      </c>
      <c r="B38" s="8" t="inlineStr">
        <is>
          <t>Overhead water Tank</t>
        </is>
      </c>
      <c r="C38" s="9" t="n">
        <v>1</v>
      </c>
      <c r="D38" s="9" t="n">
        <v>0</v>
      </c>
      <c r="E38" s="9" t="n">
        <v>5</v>
      </c>
      <c r="F38" s="9">
        <f>IFERROR(MIN(C38,D38)*E38/C38,0)</f>
        <v/>
      </c>
      <c r="G38" s="9" t="n"/>
    </row>
    <row r="39">
      <c r="A39" s="10" t="inlineStr">
        <is>
          <t>Sum</t>
        </is>
      </c>
      <c r="B39" s="11" t="n"/>
      <c r="C39" s="11" t="n"/>
      <c r="D39" s="12" t="n"/>
      <c r="E39" s="10">
        <f>SUM(E16:E38)</f>
        <v/>
      </c>
      <c r="F39" s="10">
        <f>SUM(F16:F38)</f>
        <v/>
      </c>
      <c r="G39" s="13" t="n"/>
    </row>
    <row r="40">
      <c r="A40" s="10" t="inlineStr">
        <is>
          <t>Score out of 100</t>
        </is>
      </c>
      <c r="B40" s="11" t="n"/>
      <c r="C40" s="11" t="n"/>
      <c r="D40" s="11" t="n"/>
      <c r="E40" s="12" t="n"/>
      <c r="F40" s="10">
        <f>F39/E39*100</f>
        <v/>
      </c>
      <c r="G40" s="13" t="n"/>
    </row>
    <row r="41" ht="9.75" customHeight="1"/>
    <row r="42">
      <c r="A42" s="10" t="inlineStr">
        <is>
          <t xml:space="preserve">Total achieved points out of 30  </t>
        </is>
      </c>
      <c r="B42" s="11" t="n"/>
      <c r="C42" s="11" t="n"/>
      <c r="D42" s="11" t="n"/>
      <c r="E42" s="12" t="n"/>
      <c r="F42" s="10">
        <f>F40*30/100</f>
        <v/>
      </c>
      <c r="G42" s="10" t="inlineStr">
        <is>
          <t>Points</t>
        </is>
      </c>
    </row>
  </sheetData>
  <mergeCells count="8">
    <mergeCell ref="A13:G13"/>
    <mergeCell ref="C7:G7"/>
    <mergeCell ref="A1:G1"/>
    <mergeCell ref="A42:E42"/>
    <mergeCell ref="A39:D39"/>
    <mergeCell ref="A41:G41"/>
    <mergeCell ref="C8:G8"/>
    <mergeCell ref="A40:E4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Tile and Marble Works</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Tile and Marble Works</t>
        </is>
      </c>
      <c r="C8" s="4" t="inlineStr">
        <is>
          <t>Classroom – 350 sft (33 sqm)
Workshop/ lab – 800 sft (75 sqm)
                     OR
Classroom cum workshop – 1000 sft (93 sqm) Space for Plumbing booth not included</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Tile and Marble Works,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Tiles Cutter Machine (Manual)</t>
        </is>
      </c>
      <c r="C18" s="9" t="n">
        <v>10</v>
      </c>
      <c r="D18" s="9" t="n">
        <v>0</v>
      </c>
      <c r="E18" s="9" t="n">
        <v>9</v>
      </c>
      <c r="F18" s="9">
        <f>IFERROR(MIN(C18,D18)*E18/C18,0)</f>
        <v/>
      </c>
      <c r="G18" s="9" t="n"/>
    </row>
    <row r="19" ht="14.15" customHeight="1">
      <c r="A19" s="7" t="n">
        <v>4</v>
      </c>
      <c r="B19" s="8" t="inlineStr">
        <is>
          <t>Angle Grinder</t>
        </is>
      </c>
      <c r="C19" s="9" t="n">
        <v>10</v>
      </c>
      <c r="D19" s="9" t="n">
        <v>0</v>
      </c>
      <c r="E19" s="9" t="n">
        <v>7</v>
      </c>
      <c r="F19" s="9">
        <f>IFERROR(MIN(C19,D19)*E19/C19,0)</f>
        <v/>
      </c>
      <c r="G19" s="9" t="n"/>
    </row>
    <row r="20" ht="14.15" customHeight="1">
      <c r="A20" s="7" t="n">
        <v>5</v>
      </c>
      <c r="B20" s="8" t="inlineStr">
        <is>
          <t>Work Station/ Booth (for tile installation across different positions: horizontal, vertical, inclined; suitable for floors, ceilings, drop walls, stairs, etc)</t>
        </is>
      </c>
      <c r="C20" s="9" t="n">
        <v>10</v>
      </c>
      <c r="D20" s="9" t="n">
        <v>0</v>
      </c>
      <c r="E20" s="9" t="n">
        <v>8</v>
      </c>
      <c r="F20" s="9">
        <f>IFERROR(MIN(C20,D20)*E20/C20,0)</f>
        <v/>
      </c>
      <c r="G20" s="9" t="n"/>
    </row>
    <row r="21">
      <c r="A21" s="10" t="inlineStr">
        <is>
          <t>Sum</t>
        </is>
      </c>
      <c r="B21" s="11" t="n"/>
      <c r="C21" s="11" t="n"/>
      <c r="D21" s="12" t="n"/>
      <c r="E21" s="10">
        <f>SUM(E16:E20)</f>
        <v/>
      </c>
      <c r="F21" s="10">
        <f>SUM(F16:F20)</f>
        <v/>
      </c>
      <c r="G21" s="13" t="n"/>
    </row>
    <row r="22">
      <c r="A22" s="10" t="inlineStr">
        <is>
          <t>Score out of 100</t>
        </is>
      </c>
      <c r="B22" s="11" t="n"/>
      <c r="C22" s="11" t="n"/>
      <c r="D22" s="11" t="n"/>
      <c r="E22" s="12" t="n"/>
      <c r="F22" s="10">
        <f>F21/E21*100</f>
        <v/>
      </c>
      <c r="G22" s="13" t="n"/>
    </row>
    <row r="23" ht="9.75" customHeight="1"/>
    <row r="24">
      <c r="A24" s="10" t="inlineStr">
        <is>
          <t xml:space="preserve">Total achieved points out of 30  </t>
        </is>
      </c>
      <c r="B24" s="11" t="n"/>
      <c r="C24" s="11" t="n"/>
      <c r="D24" s="11" t="n"/>
      <c r="E24" s="12" t="n"/>
      <c r="F24" s="10">
        <f>F22*30/100</f>
        <v/>
      </c>
      <c r="G24" s="10" t="inlineStr">
        <is>
          <t>Points</t>
        </is>
      </c>
    </row>
  </sheetData>
  <mergeCells count="8">
    <mergeCell ref="A13:G13"/>
    <mergeCell ref="C7:G7"/>
    <mergeCell ref="A1:G1"/>
    <mergeCell ref="A24:E24"/>
    <mergeCell ref="A21:D21"/>
    <mergeCell ref="C8:G8"/>
    <mergeCell ref="A22:E22"/>
    <mergeCell ref="A23:G2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Scaffolding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Scaffolding</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Scaffolding,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Internet connectivity</t>
        </is>
      </c>
      <c r="C18" s="9" t="n">
        <v>1</v>
      </c>
      <c r="D18" s="9" t="n">
        <v>0</v>
      </c>
      <c r="E18" s="9" t="n">
        <v>5</v>
      </c>
      <c r="F18" s="9">
        <f>IFERROR(MIN(C18,D18)*E18/C18,0)</f>
        <v/>
      </c>
      <c r="G18" s="9" t="n"/>
    </row>
    <row r="19" ht="14.15" customHeight="1">
      <c r="A19" s="7" t="n">
        <v>4</v>
      </c>
      <c r="B19" s="8" t="inlineStr">
        <is>
          <t>MS pipe (pipe range 1.5” to 2.5” dia), 10’ each</t>
        </is>
      </c>
      <c r="C19" s="9" t="n">
        <v>112</v>
      </c>
      <c r="D19" s="9" t="n">
        <v>0</v>
      </c>
      <c r="E19" s="9" t="n">
        <v>9</v>
      </c>
      <c r="F19" s="9">
        <f>IFERROR(MIN(C19,D19)*E19/C19,0)</f>
        <v/>
      </c>
      <c r="G19" s="9" t="n"/>
    </row>
    <row r="20" ht="14.15" customHeight="1">
      <c r="A20" s="7" t="n">
        <v>5</v>
      </c>
      <c r="B20" s="8" t="inlineStr">
        <is>
          <t>Working platform (aluminum/toe board), range of length 5’, width 2’</t>
        </is>
      </c>
      <c r="C20" s="9" t="n">
        <v>8</v>
      </c>
      <c r="D20" s="9" t="n">
        <v>0</v>
      </c>
      <c r="E20" s="9" t="n">
        <v>8</v>
      </c>
      <c r="F20" s="9">
        <f>IFERROR(MIN(C20,D20)*E20/C20,0)</f>
        <v/>
      </c>
      <c r="G20" s="9" t="n"/>
    </row>
    <row r="21" ht="14.15" customHeight="1">
      <c r="A21" s="7" t="n">
        <v>6</v>
      </c>
      <c r="B21" s="8" t="inlineStr">
        <is>
          <t>Sole board (300 mm x 300 mm) thickness – 38 mm</t>
        </is>
      </c>
      <c r="C21" s="9" t="n">
        <v>16</v>
      </c>
      <c r="D21" s="9" t="n">
        <v>0</v>
      </c>
      <c r="E21" s="9" t="n">
        <v>7</v>
      </c>
      <c r="F21" s="9">
        <f>IFERROR(MIN(C21,D21)*E21/C21,0)</f>
        <v/>
      </c>
      <c r="G21" s="9" t="n"/>
    </row>
    <row r="22" ht="14.15" customHeight="1">
      <c r="A22" s="7" t="n">
        <v>7</v>
      </c>
      <c r="B22" s="8" t="inlineStr">
        <is>
          <t>Base plate</t>
        </is>
      </c>
      <c r="C22" s="9" t="n">
        <v>16</v>
      </c>
      <c r="D22" s="9" t="n">
        <v>0</v>
      </c>
      <c r="E22" s="9" t="n">
        <v>7</v>
      </c>
      <c r="F22" s="9">
        <f>IFERROR(MIN(C22,D22)*E22/C22,0)</f>
        <v/>
      </c>
      <c r="G22" s="9" t="n"/>
    </row>
    <row r="23" ht="14.15" customHeight="1">
      <c r="A23" s="7" t="n">
        <v>8</v>
      </c>
      <c r="B23" s="8" t="inlineStr">
        <is>
          <t>Grinding machine</t>
        </is>
      </c>
      <c r="C23" s="9" t="n">
        <v>2</v>
      </c>
      <c r="D23" s="9" t="n">
        <v>0</v>
      </c>
      <c r="E23" s="9" t="n">
        <v>6</v>
      </c>
      <c r="F23" s="9">
        <f>IFERROR(MIN(C23,D23)*E23/C23,0)</f>
        <v/>
      </c>
      <c r="G23" s="9" t="n"/>
    </row>
    <row r="24" ht="14.15" customHeight="1">
      <c r="A24" s="7" t="n">
        <v>9</v>
      </c>
      <c r="B24" s="8" t="inlineStr">
        <is>
          <t>Rachet spanner</t>
        </is>
      </c>
      <c r="C24" s="9" t="n">
        <v>25</v>
      </c>
      <c r="D24" s="9" t="n">
        <v>0</v>
      </c>
      <c r="E24" s="9" t="n">
        <v>4</v>
      </c>
      <c r="F24" s="9">
        <f>IFERROR(MIN(C24,D24)*E24/C24,0)</f>
        <v/>
      </c>
      <c r="G24" s="9" t="n"/>
    </row>
    <row r="25" ht="14.15" customHeight="1">
      <c r="A25" s="7" t="n">
        <v>10</v>
      </c>
      <c r="B25" s="8" t="inlineStr">
        <is>
          <t>Ball pin hammer</t>
        </is>
      </c>
      <c r="C25" s="9" t="n">
        <v>25</v>
      </c>
      <c r="D25" s="9" t="n">
        <v>0</v>
      </c>
      <c r="E25" s="9" t="n">
        <v>4</v>
      </c>
      <c r="F25" s="9">
        <f>IFERROR(MIN(C25,D25)*E25/C25,0)</f>
        <v/>
      </c>
      <c r="G25" s="9" t="n"/>
    </row>
    <row r="26" ht="14.15" customHeight="1">
      <c r="A26" s="7" t="n">
        <v>11</v>
      </c>
      <c r="B26" s="8" t="inlineStr">
        <is>
          <t>Magnetic spirit level</t>
        </is>
      </c>
      <c r="C26" s="9" t="n">
        <v>25</v>
      </c>
      <c r="D26" s="9" t="n">
        <v>0</v>
      </c>
      <c r="E26" s="9" t="n">
        <v>4</v>
      </c>
      <c r="F26" s="9">
        <f>IFERROR(MIN(C26,D26)*E26/C26,0)</f>
        <v/>
      </c>
      <c r="G26" s="9" t="n"/>
    </row>
    <row r="27" ht="14.15" customHeight="1">
      <c r="A27" s="7" t="n">
        <v>12</v>
      </c>
      <c r="B27" s="8" t="inlineStr">
        <is>
          <t>Measuring tape (steel)</t>
        </is>
      </c>
      <c r="C27" s="9" t="n">
        <v>25</v>
      </c>
      <c r="D27" s="9" t="n">
        <v>0</v>
      </c>
      <c r="E27" s="9" t="n">
        <v>3</v>
      </c>
      <c r="F27" s="9">
        <f>IFERROR(MIN(C27,D27)*E27/C27,0)</f>
        <v/>
      </c>
      <c r="G27" s="9" t="n"/>
    </row>
    <row r="28" ht="14.15" customHeight="1">
      <c r="A28" s="7" t="n">
        <v>13</v>
      </c>
      <c r="B28" s="8" t="inlineStr">
        <is>
          <t>Adjustable wrench</t>
        </is>
      </c>
      <c r="C28" s="9" t="n">
        <v>4</v>
      </c>
      <c r="D28" s="9" t="n">
        <v>0</v>
      </c>
      <c r="E28" s="9" t="n">
        <v>4</v>
      </c>
      <c r="F28" s="9">
        <f>IFERROR(MIN(C28,D28)*E28/C28,0)</f>
        <v/>
      </c>
      <c r="G28" s="9" t="n"/>
    </row>
    <row r="29">
      <c r="A29" s="10" t="inlineStr">
        <is>
          <t>Sum</t>
        </is>
      </c>
      <c r="B29" s="11" t="n"/>
      <c r="C29" s="11" t="n"/>
      <c r="D29" s="12" t="n"/>
      <c r="E29" s="10">
        <f>SUM(E16:E28)</f>
        <v/>
      </c>
      <c r="F29" s="10">
        <f>SUM(F16:F28)</f>
        <v/>
      </c>
      <c r="G29" s="13" t="n"/>
    </row>
    <row r="30">
      <c r="A30" s="10" t="inlineStr">
        <is>
          <t>Score out of 100</t>
        </is>
      </c>
      <c r="B30" s="11" t="n"/>
      <c r="C30" s="11" t="n"/>
      <c r="D30" s="11" t="n"/>
      <c r="E30" s="12" t="n"/>
      <c r="F30" s="10">
        <f>F29/E29*100</f>
        <v/>
      </c>
      <c r="G30" s="13" t="n"/>
    </row>
    <row r="31" ht="9.75" customHeight="1"/>
    <row r="32">
      <c r="A32" s="10" t="inlineStr">
        <is>
          <t xml:space="preserve">Total achieved points out of 30  </t>
        </is>
      </c>
      <c r="B32" s="11" t="n"/>
      <c r="C32" s="11" t="n"/>
      <c r="D32" s="11" t="n"/>
      <c r="E32" s="12" t="n"/>
      <c r="F32" s="10">
        <f>F30*30/100</f>
        <v/>
      </c>
      <c r="G32" s="10" t="inlineStr">
        <is>
          <t>Points</t>
        </is>
      </c>
    </row>
  </sheetData>
  <mergeCells count="8">
    <mergeCell ref="A30:E30"/>
    <mergeCell ref="A13:G13"/>
    <mergeCell ref="C7:G7"/>
    <mergeCell ref="A1:G1"/>
    <mergeCell ref="A31:G31"/>
    <mergeCell ref="A29:D29"/>
    <mergeCell ref="A32:E32"/>
    <mergeCell ref="C8:G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Installation of Heating, Ventilation &amp; Air Conditioning (HVAC)</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Installation of Heating, Ventilation &amp; Air Conditioning (HVAC)</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Installation of Heating, Ventilation &amp; Air Conditioning (HVAC),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Chiller</t>
        </is>
      </c>
      <c r="C16" s="9" t="n">
        <v>1</v>
      </c>
      <c r="D16" s="9" t="n">
        <v>0</v>
      </c>
      <c r="E16" s="9" t="n">
        <v>9</v>
      </c>
      <c r="F16" s="9">
        <f>IFERROR(MIN(C16,D16)*E16/C16,0)</f>
        <v/>
      </c>
      <c r="G16" s="9" t="n"/>
    </row>
    <row r="17" ht="14.15" customHeight="1">
      <c r="A17" s="7" t="n">
        <v>2</v>
      </c>
      <c r="B17" s="8" t="inlineStr">
        <is>
          <t>Pump (Primary and Secondary)</t>
        </is>
      </c>
      <c r="C17" s="9" t="n">
        <v>2</v>
      </c>
      <c r="D17" s="9" t="n">
        <v>0</v>
      </c>
      <c r="E17" s="9" t="n">
        <v>8</v>
      </c>
      <c r="F17" s="9">
        <f>IFERROR(MIN(C17,D17)*E17/C17,0)</f>
        <v/>
      </c>
      <c r="G17" s="9" t="n"/>
    </row>
    <row r="18" ht="14.15" customHeight="1">
      <c r="A18" s="7" t="n">
        <v>3</v>
      </c>
      <c r="B18" s="8" t="inlineStr">
        <is>
          <t>Fan coil unit</t>
        </is>
      </c>
      <c r="C18" s="9" t="n">
        <v>1</v>
      </c>
      <c r="D18" s="9" t="n">
        <v>0</v>
      </c>
      <c r="E18" s="9" t="n">
        <v>8</v>
      </c>
      <c r="F18" s="9">
        <f>IFERROR(MIN(C18,D18)*E18/C18,0)</f>
        <v/>
      </c>
      <c r="G18" s="9" t="n"/>
    </row>
    <row r="19" ht="14.15" customHeight="1">
      <c r="A19" s="7" t="n">
        <v>4</v>
      </c>
      <c r="B19" s="8" t="inlineStr">
        <is>
          <t>Air handling unit</t>
        </is>
      </c>
      <c r="C19" s="9" t="n">
        <v>1</v>
      </c>
      <c r="D19" s="9" t="n">
        <v>0</v>
      </c>
      <c r="E19" s="9" t="n">
        <v>9</v>
      </c>
      <c r="F19" s="9">
        <f>IFERROR(MIN(C19,D19)*E19/C19,0)</f>
        <v/>
      </c>
      <c r="G19" s="9" t="n"/>
    </row>
    <row r="20" ht="14.15" customHeight="1">
      <c r="A20" s="7" t="n">
        <v>5</v>
      </c>
      <c r="B20" s="8" t="inlineStr">
        <is>
          <t>Ventilation fan</t>
        </is>
      </c>
      <c r="C20" s="9" t="n">
        <v>1</v>
      </c>
      <c r="D20" s="9" t="n">
        <v>0</v>
      </c>
      <c r="E20" s="9" t="n">
        <v>6</v>
      </c>
      <c r="F20" s="9">
        <f>IFERROR(MIN(C20,D20)*E20/C20,0)</f>
        <v/>
      </c>
      <c r="G20" s="9" t="n"/>
    </row>
    <row r="21" ht="14.15" customHeight="1">
      <c r="A21" s="7" t="n">
        <v>6</v>
      </c>
      <c r="B21" s="8" t="inlineStr">
        <is>
          <t>MS Pipe (2” Dia) each of 20’</t>
        </is>
      </c>
      <c r="C21" s="9" t="n">
        <v>4</v>
      </c>
      <c r="D21" s="9" t="n">
        <v>0</v>
      </c>
      <c r="E21" s="9" t="n">
        <v>4</v>
      </c>
      <c r="F21" s="9">
        <f>IFERROR(MIN(C21,D21)*E21/C21,0)</f>
        <v/>
      </c>
      <c r="G21" s="9" t="n"/>
    </row>
    <row r="22" ht="14.15" customHeight="1">
      <c r="A22" s="7" t="n">
        <v>7</v>
      </c>
      <c r="B22" s="8" t="inlineStr">
        <is>
          <t>MS Pipe (1” Dia) each of 20’</t>
        </is>
      </c>
      <c r="C22" s="9" t="n">
        <v>4</v>
      </c>
      <c r="D22" s="9" t="n">
        <v>0</v>
      </c>
      <c r="E22" s="9" t="n">
        <v>4</v>
      </c>
      <c r="F22" s="9">
        <f>IFERROR(MIN(C22,D22)*E22/C22,0)</f>
        <v/>
      </c>
      <c r="G22" s="9" t="n"/>
    </row>
    <row r="23" ht="14.15" customHeight="1">
      <c r="A23" s="7" t="n">
        <v>8</v>
      </c>
      <c r="B23" s="8" t="inlineStr">
        <is>
          <t>Copper tube (1/2”, 3/4”, 1” Dia) each of 1 coil</t>
        </is>
      </c>
      <c r="C23" s="9" t="n">
        <v>3</v>
      </c>
      <c r="D23" s="9" t="n">
        <v>0</v>
      </c>
      <c r="E23" s="9" t="n">
        <v>4</v>
      </c>
      <c r="F23" s="9">
        <f>IFERROR(MIN(C23,D23)*E23/C23,0)</f>
        <v/>
      </c>
      <c r="G23" s="9" t="n"/>
    </row>
    <row r="24" ht="14.15" customHeight="1">
      <c r="A24" s="7" t="n">
        <v>9</v>
      </c>
      <c r="B24" s="8" t="inlineStr">
        <is>
          <t>Gate valve (2”, and 1” Dia) each of 6 pcs</t>
        </is>
      </c>
      <c r="C24" s="9" t="n">
        <v>2</v>
      </c>
      <c r="D24" s="9" t="n">
        <v>0</v>
      </c>
      <c r="E24" s="9" t="n">
        <v>4</v>
      </c>
      <c r="F24" s="9">
        <f>IFERROR(MIN(C24,D24)*E24/C24,0)</f>
        <v/>
      </c>
      <c r="G24" s="9" t="n"/>
    </row>
    <row r="25" ht="14.15" customHeight="1">
      <c r="A25" s="7" t="n">
        <v>10</v>
      </c>
      <c r="B25" s="8" t="inlineStr">
        <is>
          <t>Chilled water control valve (1” and 2” Dia) each of 2 pcs</t>
        </is>
      </c>
      <c r="C25" s="9" t="n">
        <v>4</v>
      </c>
      <c r="D25" s="9" t="n">
        <v>0</v>
      </c>
      <c r="E25" s="9" t="n">
        <v>5</v>
      </c>
      <c r="F25" s="9">
        <f>IFERROR(MIN(C25,D25)*E25/C25,0)</f>
        <v/>
      </c>
      <c r="G25" s="9" t="n"/>
    </row>
    <row r="26" ht="14.15" customHeight="1">
      <c r="A26" s="7" t="n">
        <v>11</v>
      </c>
      <c r="B26" s="8" t="inlineStr">
        <is>
          <t>Flexible pipe joint (2”, and 1” Dia) each of 4 pcs</t>
        </is>
      </c>
      <c r="C26" s="9" t="n">
        <v>8</v>
      </c>
      <c r="D26" s="9" t="n">
        <v>0</v>
      </c>
      <c r="E26" s="9" t="n">
        <v>4</v>
      </c>
      <c r="F26" s="9">
        <f>IFERROR(MIN(C26,D26)*E26/C26,0)</f>
        <v/>
      </c>
      <c r="G26" s="9" t="n"/>
    </row>
    <row r="27" ht="14.15" customHeight="1">
      <c r="A27" s="7" t="n">
        <v>12</v>
      </c>
      <c r="B27" s="8" t="inlineStr">
        <is>
          <t>Cooling tower (8 ton)</t>
        </is>
      </c>
      <c r="C27" s="9" t="n">
        <v>1</v>
      </c>
      <c r="D27" s="9" t="n">
        <v>0</v>
      </c>
      <c r="E27" s="9" t="n">
        <v>9</v>
      </c>
      <c r="F27" s="9">
        <f>IFERROR(MIN(C27,D27)*E27/C27,0)</f>
        <v/>
      </c>
      <c r="G27" s="9" t="n"/>
    </row>
    <row r="28" ht="14.15" customHeight="1">
      <c r="A28" s="7" t="n">
        <v>13</v>
      </c>
      <c r="B28" s="8" t="inlineStr">
        <is>
          <t>Electrical control system</t>
        </is>
      </c>
      <c r="C28" s="9" t="n">
        <v>1</v>
      </c>
      <c r="D28" s="9" t="n">
        <v>0</v>
      </c>
      <c r="E28" s="9" t="n">
        <v>8</v>
      </c>
      <c r="F28" s="9">
        <f>IFERROR(MIN(C28,D28)*E28/C28,0)</f>
        <v/>
      </c>
      <c r="G28" s="9" t="n"/>
    </row>
    <row r="29">
      <c r="A29" s="10" t="inlineStr">
        <is>
          <t>Sum</t>
        </is>
      </c>
      <c r="B29" s="11" t="n"/>
      <c r="C29" s="11" t="n"/>
      <c r="D29" s="12" t="n"/>
      <c r="E29" s="10">
        <f>SUM(E16:E28)</f>
        <v/>
      </c>
      <c r="F29" s="10">
        <f>SUM(F16:F28)</f>
        <v/>
      </c>
      <c r="G29" s="13" t="n"/>
    </row>
    <row r="30">
      <c r="A30" s="10" t="inlineStr">
        <is>
          <t>Score out of 100</t>
        </is>
      </c>
      <c r="B30" s="11" t="n"/>
      <c r="C30" s="11" t="n"/>
      <c r="D30" s="11" t="n"/>
      <c r="E30" s="12" t="n"/>
      <c r="F30" s="10">
        <f>F29/E29*100</f>
        <v/>
      </c>
      <c r="G30" s="13" t="n"/>
    </row>
    <row r="31" ht="9.75" customHeight="1"/>
    <row r="32">
      <c r="A32" s="10" t="inlineStr">
        <is>
          <t xml:space="preserve">Total achieved points out of 30  </t>
        </is>
      </c>
      <c r="B32" s="11" t="n"/>
      <c r="C32" s="11" t="n"/>
      <c r="D32" s="11" t="n"/>
      <c r="E32" s="12" t="n"/>
      <c r="F32" s="10">
        <f>F30*30/100</f>
        <v/>
      </c>
      <c r="G32" s="10" t="inlineStr">
        <is>
          <t>Points</t>
        </is>
      </c>
    </row>
  </sheetData>
  <mergeCells count="8">
    <mergeCell ref="A30:E30"/>
    <mergeCell ref="A13:G13"/>
    <mergeCell ref="C7:G7"/>
    <mergeCell ref="A1:G1"/>
    <mergeCell ref="A31:G31"/>
    <mergeCell ref="A29:D29"/>
    <mergeCell ref="A32:E32"/>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2026-09-23T11:00:00Z</dcterms:modified>
</cp:coreProperties>
</file>
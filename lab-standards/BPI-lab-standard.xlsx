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as Pipe Welding" sheetId="1" state="visible" r:id="rId1"/>
    <sheet xmlns:r="http://schemas.openxmlformats.org/officeDocument/2006/relationships" name="Advanced Pipe Fitting" sheetId="2" state="visible" r:id="rId2"/>
    <sheet xmlns:r="http://schemas.openxmlformats.org/officeDocument/2006/relationships" name="Electrical Works" sheetId="3" state="visible" r:id="rId3"/>
    <sheet xmlns:r="http://schemas.openxmlformats.org/officeDocument/2006/relationships" name="Electrical Works V2"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Gas Pipe Welding in Energy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Gas Pipe Welding in Energy Sector</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Gas Pipe Welding in Energy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AC/DC Arc welding machine</t>
        </is>
      </c>
      <c r="C19" s="9" t="n">
        <v>10</v>
      </c>
      <c r="D19" s="9" t="n"/>
      <c r="E19" s="9" t="n">
        <v>10</v>
      </c>
      <c r="F19" s="9">
        <f>IFERROR(MIN(C19,D19)*E19/C19,0)</f>
        <v/>
      </c>
      <c r="G19" s="9" t="n"/>
    </row>
    <row r="20" ht="14.15" customHeight="1">
      <c r="A20" s="7" t="n">
        <v>5</v>
      </c>
      <c r="B20" s="8" t="inlineStr">
        <is>
          <t>TIG welding machine</t>
        </is>
      </c>
      <c r="C20" s="9" t="n">
        <v>10</v>
      </c>
      <c r="D20" s="9" t="n"/>
      <c r="E20" s="9" t="n">
        <v>10</v>
      </c>
      <c r="F20" s="9">
        <f>IFERROR(MIN(C20,D20)*E20/C20,0)</f>
        <v/>
      </c>
      <c r="G20" s="9" t="n"/>
    </row>
    <row r="21" ht="14.15" customHeight="1">
      <c r="A21" s="7" t="n">
        <v>6</v>
      </c>
      <c r="B21" s="8" t="inlineStr">
        <is>
          <t>Gas cutting set</t>
        </is>
      </c>
      <c r="C21" s="9" t="n">
        <v>3</v>
      </c>
      <c r="D21" s="9" t="n"/>
      <c r="E21" s="9" t="n">
        <v>9</v>
      </c>
      <c r="F21" s="9">
        <f>IFERROR(MIN(C21,D21)*E21/C21,0)</f>
        <v/>
      </c>
      <c r="G21" s="9" t="n"/>
    </row>
    <row r="22" ht="14.15" customHeight="1">
      <c r="A22" s="7" t="n">
        <v>7</v>
      </c>
      <c r="B22" s="8" t="inlineStr">
        <is>
          <t>Spare cylinder set (Argon, oxygen and acetylene)</t>
        </is>
      </c>
      <c r="C22" s="9" t="n">
        <v>1</v>
      </c>
      <c r="D22" s="9" t="n"/>
      <c r="E22" s="9" t="n">
        <v>6</v>
      </c>
      <c r="F22" s="9">
        <f>IFERROR(MIN(C22,D22)*E22/C22,0)</f>
        <v/>
      </c>
      <c r="G22" s="9" t="n"/>
    </row>
    <row r="23" ht="14.15" customHeight="1">
      <c r="A23" s="7" t="n">
        <v>8</v>
      </c>
      <c r="B23" s="8" t="inlineStr">
        <is>
          <t>Hand grinding machine</t>
        </is>
      </c>
      <c r="C23" s="9" t="n">
        <v>10</v>
      </c>
      <c r="D23" s="9" t="n"/>
      <c r="E23" s="9" t="n">
        <v>6</v>
      </c>
      <c r="F23" s="9">
        <f>IFERROR(MIN(C23,D23)*E23/C23,0)</f>
        <v/>
      </c>
      <c r="G23" s="9" t="n"/>
    </row>
    <row r="24" ht="14.15" customHeight="1">
      <c r="A24" s="7" t="n">
        <v>9</v>
      </c>
      <c r="B24" s="8" t="inlineStr">
        <is>
          <t>Bench vice</t>
        </is>
      </c>
      <c r="C24" s="9" t="n">
        <v>10</v>
      </c>
      <c r="D24" s="9" t="n"/>
      <c r="E24" s="9" t="n">
        <v>5</v>
      </c>
      <c r="F24" s="9">
        <f>IFERROR(MIN(C24,D24)*E24/C24,0)</f>
        <v/>
      </c>
      <c r="G24" s="9" t="n"/>
    </row>
    <row r="25" ht="14.15" customHeight="1">
      <c r="A25" s="7" t="n">
        <v>10</v>
      </c>
      <c r="B25" s="8" t="inlineStr">
        <is>
          <t>Tool box set for welding workshop</t>
        </is>
      </c>
      <c r="C25" s="9" t="n">
        <v>10</v>
      </c>
      <c r="D25" s="9" t="n"/>
      <c r="E25" s="9" t="n">
        <v>4</v>
      </c>
      <c r="F25" s="9">
        <f>IFERROR(MIN(C25,D25)*E25/C25,0)</f>
        <v/>
      </c>
      <c r="G25" s="9" t="n"/>
    </row>
    <row r="26" ht="14.15" customHeight="1">
      <c r="A26" s="7" t="n">
        <v>11</v>
      </c>
      <c r="B26" s="8" t="inlineStr">
        <is>
          <t>Fire extinguisher</t>
        </is>
      </c>
      <c r="C26" s="9" t="n">
        <v>4</v>
      </c>
      <c r="D26" s="9" t="n"/>
      <c r="E26" s="9" t="n">
        <v>5</v>
      </c>
      <c r="F26" s="9">
        <f>IFERROR(MIN(C26,D26)*E26/C26,0)</f>
        <v/>
      </c>
      <c r="G26" s="9" t="n"/>
    </row>
    <row r="27" ht="14.15" customHeight="1">
      <c r="A27" s="7" t="n">
        <v>12</v>
      </c>
      <c r="B27" s="8" t="inlineStr">
        <is>
          <t>Welding booth with exhaust system</t>
        </is>
      </c>
      <c r="C27" s="9" t="n">
        <v>10</v>
      </c>
      <c r="D27" s="9" t="n"/>
      <c r="E27" s="9" t="n">
        <v>7</v>
      </c>
      <c r="F27" s="9">
        <f>IFERROR(MIN(C27,D27)*E27/C27,0)</f>
        <v/>
      </c>
      <c r="G27" s="9" t="n"/>
    </row>
    <row r="28" ht="14.15" customHeight="1">
      <c r="A28" s="7" t="n">
        <v>13</v>
      </c>
      <c r="B28" s="8" t="inlineStr">
        <is>
          <t>First aid box</t>
        </is>
      </c>
      <c r="C28" s="9" t="n">
        <v>3</v>
      </c>
      <c r="D28" s="9" t="n"/>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Pipe Fitting for Gas and Onshore Rigs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Advanced Pipe Fitting for Gas and Onshore Rigs</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Pipe Fitting for Gas and Onshore Rigs,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AC/DC Arc welding machine</t>
        </is>
      </c>
      <c r="C19" s="9" t="n">
        <v>10</v>
      </c>
      <c r="D19" s="9" t="n"/>
      <c r="E19" s="9" t="n">
        <v>9</v>
      </c>
      <c r="F19" s="9">
        <f>IFERROR(MIN(C19,D19)*E19/C19,0)</f>
        <v/>
      </c>
      <c r="G19" s="9" t="n"/>
    </row>
    <row r="20" ht="14.15" customHeight="1">
      <c r="A20" s="7" t="n">
        <v>5</v>
      </c>
      <c r="B20" s="8" t="inlineStr">
        <is>
          <t>Gas cutting set</t>
        </is>
      </c>
      <c r="C20" s="9" t="n">
        <v>3</v>
      </c>
      <c r="D20" s="9" t="n"/>
      <c r="E20" s="9" t="n">
        <v>8</v>
      </c>
      <c r="F20" s="9">
        <f>IFERROR(MIN(C20,D20)*E20/C20,0)</f>
        <v/>
      </c>
      <c r="G20" s="9" t="n"/>
    </row>
    <row r="21" ht="14.15" customHeight="1">
      <c r="A21" s="7" t="n">
        <v>6</v>
      </c>
      <c r="B21" s="8" t="inlineStr">
        <is>
          <t>Spare cylinder set (Argon, oxygen and acetylene)</t>
        </is>
      </c>
      <c r="C21" s="9" t="n">
        <v>1</v>
      </c>
      <c r="D21" s="9" t="n"/>
      <c r="E21" s="9" t="n">
        <v>6</v>
      </c>
      <c r="F21" s="9">
        <f>IFERROR(MIN(C21,D21)*E21/C21,0)</f>
        <v/>
      </c>
      <c r="G21" s="9" t="n"/>
    </row>
    <row r="22" ht="14.15" customHeight="1">
      <c r="A22" s="7" t="n">
        <v>7</v>
      </c>
      <c r="B22" s="8" t="inlineStr">
        <is>
          <t>Hand grinding machine</t>
        </is>
      </c>
      <c r="C22" s="9" t="n">
        <v>10</v>
      </c>
      <c r="D22" s="9" t="n"/>
      <c r="E22" s="9" t="n">
        <v>6</v>
      </c>
      <c r="F22" s="9">
        <f>IFERROR(MIN(C22,D22)*E22/C22,0)</f>
        <v/>
      </c>
      <c r="G22" s="9" t="n"/>
    </row>
    <row r="23" ht="14.15" customHeight="1">
      <c r="A23" s="7" t="n">
        <v>8</v>
      </c>
      <c r="B23" s="8" t="inlineStr">
        <is>
          <t>Bench vice</t>
        </is>
      </c>
      <c r="C23" s="9" t="n">
        <v>10</v>
      </c>
      <c r="D23" s="9" t="n"/>
      <c r="E23" s="9" t="n">
        <v>5</v>
      </c>
      <c r="F23" s="9">
        <f>IFERROR(MIN(C23,D23)*E23/C23,0)</f>
        <v/>
      </c>
      <c r="G23" s="9" t="n"/>
    </row>
    <row r="24" ht="14.15" customHeight="1">
      <c r="A24" s="7" t="n">
        <v>9</v>
      </c>
      <c r="B24" s="8" t="inlineStr">
        <is>
          <t>Tool box set for welding workshop</t>
        </is>
      </c>
      <c r="C24" s="9" t="n">
        <v>10</v>
      </c>
      <c r="D24" s="9" t="n"/>
      <c r="E24" s="9" t="n">
        <v>4</v>
      </c>
      <c r="F24" s="9">
        <f>IFERROR(MIN(C24,D24)*E24/C24,0)</f>
        <v/>
      </c>
      <c r="G24" s="9" t="n"/>
    </row>
    <row r="25" ht="14.15" customHeight="1">
      <c r="A25" s="7" t="n">
        <v>10</v>
      </c>
      <c r="B25" s="8" t="inlineStr">
        <is>
          <t>Fire extinguisher</t>
        </is>
      </c>
      <c r="C25" s="9" t="n">
        <v>4</v>
      </c>
      <c r="D25" s="9" t="n"/>
      <c r="E25" s="9" t="n">
        <v>5</v>
      </c>
      <c r="F25" s="9">
        <f>IFERROR(MIN(C25,D25)*E25/C25,0)</f>
        <v/>
      </c>
      <c r="G25" s="9" t="n"/>
    </row>
    <row r="26" ht="14.15" customHeight="1">
      <c r="A26" s="7" t="n">
        <v>11</v>
      </c>
      <c r="B26" s="8" t="inlineStr">
        <is>
          <t>Welding booth with exhaust system</t>
        </is>
      </c>
      <c r="C26" s="9" t="n">
        <v>10</v>
      </c>
      <c r="D26" s="9" t="n"/>
      <c r="E26" s="9" t="n">
        <v>6</v>
      </c>
      <c r="F26" s="9">
        <f>IFERROR(MIN(C26,D26)*E26/C26,0)</f>
        <v/>
      </c>
      <c r="G26" s="9" t="n"/>
    </row>
    <row r="27" ht="14.15" customHeight="1">
      <c r="A27" s="7" t="n">
        <v>12</v>
      </c>
      <c r="B27" s="8" t="inlineStr">
        <is>
          <t>First aid box</t>
        </is>
      </c>
      <c r="C27" s="9" t="n">
        <v>3</v>
      </c>
      <c r="D27" s="9" t="n"/>
      <c r="E27" s="9" t="n">
        <v>4</v>
      </c>
      <c r="F27" s="9">
        <f>IFERROR(MIN(C27,D27)*E27/C27,0)</f>
        <v/>
      </c>
      <c r="G27" s="9" t="n"/>
    </row>
    <row r="28" ht="14.15" customHeight="1">
      <c r="A28" s="7" t="n">
        <v>13</v>
      </c>
      <c r="B28" s="8" t="inlineStr">
        <is>
          <t>Baby Grinder (4’’)</t>
        </is>
      </c>
      <c r="C28" s="9" t="n">
        <v>4</v>
      </c>
      <c r="D28" s="9" t="n"/>
      <c r="E28" s="9" t="n">
        <v>4</v>
      </c>
      <c r="F28" s="9">
        <f>IFERROR(MIN(C28,D28)*E28/C28,0)</f>
        <v/>
      </c>
      <c r="G28" s="9" t="n"/>
    </row>
    <row r="29" ht="14.15" customHeight="1">
      <c r="A29" s="7" t="n">
        <v>14</v>
      </c>
      <c r="B29" s="8" t="inlineStr">
        <is>
          <t>Chain tong</t>
        </is>
      </c>
      <c r="C29" s="9" t="n">
        <v>2</v>
      </c>
      <c r="D29" s="9" t="n"/>
      <c r="E29" s="9" t="n">
        <v>7</v>
      </c>
      <c r="F29" s="9">
        <f>IFERROR(MIN(C29,D29)*E29/C29,0)</f>
        <v/>
      </c>
      <c r="G29" s="9" t="n"/>
    </row>
    <row r="30" ht="14.15" customHeight="1">
      <c r="A30" s="7" t="n">
        <v>15</v>
      </c>
      <c r="B30" s="8" t="inlineStr">
        <is>
          <t>Pipe bender/Tube bender</t>
        </is>
      </c>
      <c r="C30" s="9" t="n">
        <v>2</v>
      </c>
      <c r="D30" s="9" t="n"/>
      <c r="E30" s="9" t="n">
        <v>8</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3:G33"/>
    <mergeCell ref="C7:G7"/>
    <mergeCell ref="A34:E34"/>
    <mergeCell ref="A1:G1"/>
    <mergeCell ref="A31:D31"/>
    <mergeCell ref="A32:E32"/>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Works in Energy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Electrical Works in Energy Sector</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Works in Energy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Generators (25 KVA) Diesel operated</t>
        </is>
      </c>
      <c r="C19" s="9" t="n">
        <v>1</v>
      </c>
      <c r="D19" s="9" t="n"/>
      <c r="E19" s="9" t="n">
        <v>9</v>
      </c>
      <c r="F19" s="9">
        <f>IFERROR(MIN(C19,D19)*E19/C19,0)</f>
        <v/>
      </c>
      <c r="G19" s="9" t="n"/>
    </row>
    <row r="20" ht="14.15" customHeight="1">
      <c r="A20" s="7" t="n">
        <v>5</v>
      </c>
      <c r="B20" s="8" t="inlineStr">
        <is>
          <t>Transformers (3-5KVA) single phase 220/110V</t>
        </is>
      </c>
      <c r="C20" s="9" t="n">
        <v>3</v>
      </c>
      <c r="D20" s="9" t="n"/>
      <c r="E20" s="9" t="n">
        <v>9</v>
      </c>
      <c r="F20" s="9">
        <f>IFERROR(MIN(C20,D20)*E20/C20,0)</f>
        <v/>
      </c>
      <c r="G20" s="9" t="n"/>
    </row>
    <row r="21" ht="14.15" customHeight="1">
      <c r="A21" s="7" t="n">
        <v>6</v>
      </c>
      <c r="B21" s="8" t="inlineStr">
        <is>
          <t>Circuit breakers (SPMCB, DPMCB, TPMCB)</t>
        </is>
      </c>
      <c r="C21" s="9" t="n">
        <v>6</v>
      </c>
      <c r="D21" s="9" t="n"/>
      <c r="E21" s="9" t="n">
        <v>7</v>
      </c>
      <c r="F21" s="9">
        <f>IFERROR(MIN(C21,D21)*E21/C21,0)</f>
        <v/>
      </c>
      <c r="G21" s="9" t="n"/>
    </row>
    <row r="22" ht="14.15" customHeight="1">
      <c r="A22" s="7" t="n">
        <v>7</v>
      </c>
      <c r="B22" s="8" t="inlineStr">
        <is>
          <t>Switchgear (CB, LBS, Relays, Fuses, CT, PT)</t>
        </is>
      </c>
      <c r="C22" s="9" t="n">
        <v>3</v>
      </c>
      <c r="D22" s="9" t="n"/>
      <c r="E22" s="9" t="n">
        <v>8</v>
      </c>
      <c r="F22" s="9">
        <f>IFERROR(MIN(C22,D22)*E22/C22,0)</f>
        <v/>
      </c>
      <c r="G22" s="9" t="inlineStr">
        <is>
          <t>03 (Each)</t>
        </is>
      </c>
    </row>
    <row r="23" ht="14.15" customHeight="1">
      <c r="A23" s="7" t="n">
        <v>8</v>
      </c>
      <c r="B23" s="8" t="inlineStr">
        <is>
          <t>3-phase induction Motor (3 to 5 hp.)</t>
        </is>
      </c>
      <c r="C23" s="9" t="n">
        <v>3</v>
      </c>
      <c r="D23" s="9" t="n"/>
      <c r="E23" s="9" t="n">
        <v>8</v>
      </c>
      <c r="F23" s="9">
        <f>IFERROR(MIN(C23,D23)*E23/C23,0)</f>
        <v/>
      </c>
      <c r="G23" s="9" t="n"/>
    </row>
    <row r="24" ht="14.15" customHeight="1">
      <c r="A24" s="7" t="n">
        <v>9</v>
      </c>
      <c r="B24" s="8" t="inlineStr">
        <is>
          <t>Motor Control panels (Star-Delta)</t>
        </is>
      </c>
      <c r="C24" s="9" t="n">
        <v>5</v>
      </c>
      <c r="D24" s="9" t="n"/>
      <c r="E24" s="9" t="n">
        <v>8</v>
      </c>
      <c r="F24" s="9">
        <f>IFERROR(MIN(C24,D24)*E24/C24,0)</f>
        <v/>
      </c>
      <c r="G24" s="9" t="inlineStr">
        <is>
          <t>05 sets</t>
        </is>
      </c>
    </row>
    <row r="25" ht="14.15" customHeight="1">
      <c r="A25" s="7" t="n">
        <v>10</v>
      </c>
      <c r="B25" s="8" t="inlineStr">
        <is>
          <t>Electrical goods/fittings</t>
        </is>
      </c>
      <c r="C25" s="9" t="n">
        <v>10</v>
      </c>
      <c r="D25" s="9" t="n"/>
      <c r="E25" s="9" t="n">
        <v>4</v>
      </c>
      <c r="F25" s="9">
        <f>IFERROR(MIN(C25,D25)*E25/C25,0)</f>
        <v/>
      </c>
      <c r="G25" s="9" t="inlineStr">
        <is>
          <t>10 for each</t>
        </is>
      </c>
    </row>
    <row r="26" ht="14.15" customHeight="1">
      <c r="A26" s="7" t="n">
        <v>11</v>
      </c>
      <c r="B26" s="8" t="inlineStr">
        <is>
          <t>Battery (50 AH, 12V) with charger</t>
        </is>
      </c>
      <c r="C26" s="9" t="n">
        <v>3</v>
      </c>
      <c r="D26" s="9" t="n"/>
      <c r="E26" s="9" t="n">
        <v>5</v>
      </c>
      <c r="F26" s="9">
        <f>IFERROR(MIN(C26,D26)*E26/C26,0)</f>
        <v/>
      </c>
      <c r="G26" s="9" t="n"/>
    </row>
    <row r="27" ht="14.15" customHeight="1">
      <c r="A27" s="7" t="n">
        <v>12</v>
      </c>
      <c r="B27" s="8" t="inlineStr">
        <is>
          <t>Distribution boards</t>
        </is>
      </c>
      <c r="C27" s="9" t="n">
        <v>5</v>
      </c>
      <c r="D27" s="9" t="n"/>
      <c r="E27" s="9" t="n">
        <v>7</v>
      </c>
      <c r="F27" s="9">
        <f>IFERROR(MIN(C27,D27)*E27/C27,0)</f>
        <v/>
      </c>
      <c r="G27" s="9" t="n"/>
    </row>
    <row r="28" ht="14.15" customHeight="1">
      <c r="A28" s="7" t="n">
        <v>13</v>
      </c>
      <c r="B28" s="8" t="inlineStr">
        <is>
          <t>Earthing equipment</t>
        </is>
      </c>
      <c r="C28" s="9" t="n">
        <v>3</v>
      </c>
      <c r="D28" s="9" t="n"/>
      <c r="E28" s="9" t="n">
        <v>7</v>
      </c>
      <c r="F28" s="9">
        <f>IFERROR(MIN(C28,D28)*E28/C28,0)</f>
        <v/>
      </c>
      <c r="G28" s="9" t="n"/>
    </row>
    <row r="29" ht="14.15" customHeight="1">
      <c r="A29" s="7" t="n">
        <v>14</v>
      </c>
      <c r="B29" s="8" t="inlineStr">
        <is>
          <t>Lightning protection system</t>
        </is>
      </c>
      <c r="C29" s="9" t="n">
        <v>3</v>
      </c>
      <c r="D29" s="9" t="n"/>
      <c r="E29" s="9" t="n">
        <v>6</v>
      </c>
      <c r="F29" s="9">
        <f>IFERROR(MIN(C29,D29)*E29/C29,0)</f>
        <v/>
      </c>
      <c r="G29" s="9" t="n"/>
    </row>
    <row r="30" ht="14.15" customHeight="1">
      <c r="A30" s="7" t="n">
        <v>15</v>
      </c>
      <c r="B30" s="8" t="inlineStr">
        <is>
          <t>Cable/Wire (1rm, 1.5rm, 2.5rm &amp; 1 coil flexible wire)</t>
        </is>
      </c>
      <c r="C30" s="9" t="n">
        <v>10</v>
      </c>
      <c r="D30" s="9" t="n"/>
      <c r="E30" s="9" t="n">
        <v>3</v>
      </c>
      <c r="F30" s="9">
        <f>IFERROR(MIN(C30,D30)*E30/C30,0)</f>
        <v/>
      </c>
      <c r="G30" s="9" t="inlineStr">
        <is>
          <t>10 coils</t>
        </is>
      </c>
    </row>
    <row r="31" ht="14.15" customHeight="1">
      <c r="A31" s="7" t="n">
        <v>16</v>
      </c>
      <c r="B31" s="8" t="inlineStr">
        <is>
          <t>Fire extinguisher</t>
        </is>
      </c>
      <c r="C31" s="9" t="n">
        <v>4</v>
      </c>
      <c r="D31" s="9" t="n"/>
      <c r="E31" s="9" t="n">
        <v>4</v>
      </c>
      <c r="F31" s="9">
        <f>IFERROR(MIN(C31,D31)*E31/C31,0)</f>
        <v/>
      </c>
      <c r="G31" s="9" t="n"/>
    </row>
    <row r="32" ht="14.15" customHeight="1">
      <c r="A32" s="7" t="n">
        <v>17</v>
      </c>
      <c r="B32" s="8" t="inlineStr">
        <is>
          <t>First aid box</t>
        </is>
      </c>
      <c r="C32" s="9" t="n">
        <v>3</v>
      </c>
      <c r="D32" s="9" t="n"/>
      <c r="E32" s="9" t="n">
        <v>4</v>
      </c>
      <c r="F32" s="9">
        <f>IFERROR(MIN(C32,D32)*E32/C32,0)</f>
        <v/>
      </c>
      <c r="G32" s="9" t="n"/>
    </row>
    <row r="33" ht="14.15" customHeight="1">
      <c r="A33" s="7" t="n">
        <v>18</v>
      </c>
      <c r="B33" s="8" t="inlineStr">
        <is>
          <t>Screwdrivers (insulated)</t>
        </is>
      </c>
      <c r="C33" s="9" t="n">
        <v>10</v>
      </c>
      <c r="D33" s="9" t="n"/>
      <c r="E33" s="9" t="n">
        <v>3</v>
      </c>
      <c r="F33" s="9">
        <f>IFERROR(MIN(C33,D33)*E33/C33,0)</f>
        <v/>
      </c>
      <c r="G33" s="9" t="n"/>
    </row>
    <row r="34" ht="14.15" customHeight="1">
      <c r="A34" s="7" t="n">
        <v>19</v>
      </c>
      <c r="B34" s="8" t="inlineStr">
        <is>
          <t>Combination pliers</t>
        </is>
      </c>
      <c r="C34" s="9" t="n">
        <v>10</v>
      </c>
      <c r="D34" s="9" t="n"/>
      <c r="E34" s="9" t="n">
        <v>3</v>
      </c>
      <c r="F34" s="9">
        <f>IFERROR(MIN(C34,D34)*E34/C34,0)</f>
        <v/>
      </c>
      <c r="G34" s="9" t="n"/>
    </row>
    <row r="35" ht="14.15" customHeight="1">
      <c r="A35" s="7" t="n">
        <v>20</v>
      </c>
      <c r="B35" s="8" t="inlineStr">
        <is>
          <t>Wire stripper and cutter</t>
        </is>
      </c>
      <c r="C35" s="9" t="n">
        <v>10</v>
      </c>
      <c r="D35" s="9" t="n"/>
      <c r="E35" s="9" t="n">
        <v>3</v>
      </c>
      <c r="F35" s="9">
        <f>IFERROR(MIN(C35,D35)*E35/C35,0)</f>
        <v/>
      </c>
      <c r="G35" s="9" t="n"/>
    </row>
    <row r="36" ht="14.15" customHeight="1">
      <c r="A36" s="7" t="n">
        <v>21</v>
      </c>
      <c r="B36" s="8" t="inlineStr">
        <is>
          <t>Crimping pliers</t>
        </is>
      </c>
      <c r="C36" s="9" t="n">
        <v>10</v>
      </c>
      <c r="D36" s="9" t="n"/>
      <c r="E36" s="9" t="n">
        <v>3</v>
      </c>
      <c r="F36" s="9">
        <f>IFERROR(MIN(C36,D36)*E36/C36,0)</f>
        <v/>
      </c>
      <c r="G36" s="9" t="n"/>
    </row>
    <row r="37" ht="14.15" customHeight="1">
      <c r="A37" s="7" t="n">
        <v>22</v>
      </c>
      <c r="B37" s="8" t="inlineStr">
        <is>
          <t>Tester</t>
        </is>
      </c>
      <c r="C37" s="9" t="n">
        <v>10</v>
      </c>
      <c r="D37" s="9" t="n"/>
      <c r="E37" s="9" t="n">
        <v>4</v>
      </c>
      <c r="F37" s="9">
        <f>IFERROR(MIN(C37,D37)*E37/C37,0)</f>
        <v/>
      </c>
      <c r="G37" s="9" t="n"/>
    </row>
    <row r="38" ht="14.15" customHeight="1">
      <c r="A38" s="7" t="n">
        <v>23</v>
      </c>
      <c r="B38" s="8" t="inlineStr">
        <is>
          <t>Voltage tester</t>
        </is>
      </c>
      <c r="C38" s="9" t="n">
        <v>10</v>
      </c>
      <c r="D38" s="9" t="n"/>
      <c r="E38" s="9" t="n">
        <v>4</v>
      </c>
      <c r="F38" s="9">
        <f>IFERROR(MIN(C38,D38)*E38/C38,0)</f>
        <v/>
      </c>
      <c r="G38" s="9" t="n"/>
    </row>
    <row r="39" ht="14.15" customHeight="1">
      <c r="A39" s="7" t="n">
        <v>24</v>
      </c>
      <c r="B39" s="8" t="inlineStr">
        <is>
          <t>Cable pulling tools</t>
        </is>
      </c>
      <c r="C39" s="9" t="n">
        <v>10</v>
      </c>
      <c r="D39" s="9" t="n"/>
      <c r="E39" s="9" t="n">
        <v>4</v>
      </c>
      <c r="F39" s="9">
        <f>IFERROR(MIN(C39,D39)*E39/C39,0)</f>
        <v/>
      </c>
      <c r="G39" s="9" t="n"/>
    </row>
    <row r="40" ht="14.15" customHeight="1">
      <c r="A40" s="7" t="n">
        <v>25</v>
      </c>
      <c r="B40" s="8" t="inlineStr">
        <is>
          <t>Drilling machine</t>
        </is>
      </c>
      <c r="C40" s="9" t="n">
        <v>10</v>
      </c>
      <c r="D40" s="9" t="n"/>
      <c r="E40" s="9" t="n">
        <v>6</v>
      </c>
      <c r="F40" s="9">
        <f>IFERROR(MIN(C40,D40)*E40/C40,0)</f>
        <v/>
      </c>
      <c r="G40" s="9" t="n"/>
    </row>
    <row r="41" ht="14.15" customHeight="1">
      <c r="A41" s="7" t="n">
        <v>26</v>
      </c>
      <c r="B41" s="8" t="inlineStr">
        <is>
          <t>Hack Saw</t>
        </is>
      </c>
      <c r="C41" s="9" t="n">
        <v>10</v>
      </c>
      <c r="D41" s="9" t="n"/>
      <c r="E41" s="9" t="n">
        <v>3</v>
      </c>
      <c r="F41" s="9">
        <f>IFERROR(MIN(C41,D41)*E41/C41,0)</f>
        <v/>
      </c>
      <c r="G41" s="9" t="n"/>
    </row>
    <row r="42" ht="14.15" customHeight="1">
      <c r="A42" s="7" t="n">
        <v>27</v>
      </c>
      <c r="B42" s="8" t="inlineStr">
        <is>
          <t>Pipe cutter</t>
        </is>
      </c>
      <c r="C42" s="9" t="n">
        <v>10</v>
      </c>
      <c r="D42" s="9" t="n"/>
      <c r="E42" s="9" t="n">
        <v>4</v>
      </c>
      <c r="F42" s="9">
        <f>IFERROR(MIN(C42,D42)*E42/C42,0)</f>
        <v/>
      </c>
      <c r="G42" s="9" t="n"/>
    </row>
    <row r="43" ht="14.15" customHeight="1">
      <c r="A43" s="7" t="n">
        <v>28</v>
      </c>
      <c r="B43" s="8" t="inlineStr">
        <is>
          <t>Multimeter</t>
        </is>
      </c>
      <c r="C43" s="9" t="n">
        <v>10</v>
      </c>
      <c r="D43" s="9" t="n"/>
      <c r="E43" s="9" t="n">
        <v>6</v>
      </c>
      <c r="F43" s="9">
        <f>IFERROR(MIN(C43,D43)*E43/C43,0)</f>
        <v/>
      </c>
      <c r="G43" s="9" t="n"/>
    </row>
    <row r="44" ht="14.15" customHeight="1">
      <c r="A44" s="7" t="n">
        <v>29</v>
      </c>
      <c r="B44" s="8" t="inlineStr">
        <is>
          <t>Clamp meter</t>
        </is>
      </c>
      <c r="C44" s="9" t="n">
        <v>10</v>
      </c>
      <c r="D44" s="9" t="n"/>
      <c r="E44" s="9" t="n">
        <v>6</v>
      </c>
      <c r="F44" s="9">
        <f>IFERROR(MIN(C44,D44)*E44/C44,0)</f>
        <v/>
      </c>
      <c r="G44" s="9" t="n"/>
    </row>
    <row r="45" ht="14.15" customHeight="1">
      <c r="A45" s="7" t="n">
        <v>30</v>
      </c>
      <c r="B45" s="8" t="inlineStr">
        <is>
          <t>Watt meter</t>
        </is>
      </c>
      <c r="C45" s="9" t="n">
        <v>10</v>
      </c>
      <c r="D45" s="9" t="n"/>
      <c r="E45" s="9" t="n">
        <v>5</v>
      </c>
      <c r="F45" s="9">
        <f>IFERROR(MIN(C45,D45)*E45/C45,0)</f>
        <v/>
      </c>
      <c r="G45" s="9" t="n"/>
    </row>
    <row r="46" ht="14.15" customHeight="1">
      <c r="A46" s="7" t="n">
        <v>31</v>
      </c>
      <c r="B46" s="8" t="inlineStr">
        <is>
          <t>Insulation resistance tester (Megger)</t>
        </is>
      </c>
      <c r="C46" s="9" t="n">
        <v>10</v>
      </c>
      <c r="D46" s="9" t="n"/>
      <c r="E46" s="9" t="n">
        <v>7</v>
      </c>
      <c r="F46" s="9">
        <f>IFERROR(MIN(C46,D46)*E46/C46,0)</f>
        <v/>
      </c>
      <c r="G46" s="9" t="n"/>
    </row>
    <row r="47" ht="14.15" customHeight="1">
      <c r="A47" s="7" t="n">
        <v>32</v>
      </c>
      <c r="B47" s="8" t="inlineStr">
        <is>
          <t>Earth resistance tester</t>
        </is>
      </c>
      <c r="C47" s="9" t="n">
        <v>10</v>
      </c>
      <c r="D47" s="9" t="n"/>
      <c r="E47" s="9" t="n">
        <v>7</v>
      </c>
      <c r="F47" s="9">
        <f>IFERROR(MIN(C47,D47)*E47/C47,0)</f>
        <v/>
      </c>
      <c r="G47" s="9" t="n"/>
    </row>
    <row r="48" ht="14.15" customHeight="1">
      <c r="A48" s="7" t="n">
        <v>33</v>
      </c>
      <c r="B48" s="8" t="inlineStr">
        <is>
          <t>Phase sequence tester</t>
        </is>
      </c>
      <c r="C48" s="9" t="n">
        <v>10</v>
      </c>
      <c r="D48" s="9" t="n"/>
      <c r="E48" s="9" t="n">
        <v>5</v>
      </c>
      <c r="F48" s="9">
        <f>IFERROR(MIN(C48,D48)*E48/C48,0)</f>
        <v/>
      </c>
      <c r="G48" s="9" t="n"/>
    </row>
    <row r="49" ht="14.15" customHeight="1">
      <c r="A49" s="7" t="n">
        <v>34</v>
      </c>
      <c r="B49" s="8" t="inlineStr">
        <is>
          <t>Continuity tester</t>
        </is>
      </c>
      <c r="C49" s="9" t="n">
        <v>10</v>
      </c>
      <c r="D49" s="9" t="n"/>
      <c r="E49" s="9" t="n">
        <v>4</v>
      </c>
      <c r="F49" s="9">
        <f>IFERROR(MIN(C49,D49)*E49/C49,0)</f>
        <v/>
      </c>
      <c r="G49" s="9" t="n"/>
    </row>
    <row r="50" ht="14.15" customHeight="1">
      <c r="A50" s="7" t="n">
        <v>35</v>
      </c>
      <c r="B50" s="8" t="inlineStr">
        <is>
          <t>OHM tester</t>
        </is>
      </c>
      <c r="C50" s="9" t="n">
        <v>10</v>
      </c>
      <c r="D50" s="9" t="n"/>
      <c r="E50" s="9" t="n">
        <v>4</v>
      </c>
      <c r="F50" s="9">
        <f>IFERROR(MIN(C50,D50)*E50/C50,0)</f>
        <v/>
      </c>
      <c r="G50" s="9" t="n"/>
    </row>
    <row r="51" ht="14.15" customHeight="1">
      <c r="A51" s="7" t="n">
        <v>36</v>
      </c>
      <c r="B51" s="8" t="inlineStr">
        <is>
          <t>Voltage detector</t>
        </is>
      </c>
      <c r="C51" s="9" t="n">
        <v>10</v>
      </c>
      <c r="D51" s="9" t="n"/>
      <c r="E51" s="9" t="n">
        <v>4</v>
      </c>
      <c r="F51" s="9">
        <f>IFERROR(MIN(C51,D51)*E51/C51,0)</f>
        <v/>
      </c>
      <c r="G51" s="9" t="n"/>
    </row>
    <row r="52" ht="14.15" customHeight="1">
      <c r="A52" s="7" t="n">
        <v>37</v>
      </c>
      <c r="B52" s="8" t="inlineStr">
        <is>
          <t>Power quality analyzer</t>
        </is>
      </c>
      <c r="C52" s="9" t="n">
        <v>10</v>
      </c>
      <c r="D52" s="9" t="n"/>
      <c r="E52" s="9" t="n">
        <v>7</v>
      </c>
      <c r="F52" s="9">
        <f>IFERROR(MIN(C52,D52)*E52/C52,0)</f>
        <v/>
      </c>
      <c r="G52" s="9" t="n"/>
    </row>
    <row r="53" ht="14.15" customHeight="1">
      <c r="A53" s="7" t="n">
        <v>38</v>
      </c>
      <c r="B53" s="8" t="inlineStr">
        <is>
          <t>Loop impedance tester</t>
        </is>
      </c>
      <c r="C53" s="9" t="n">
        <v>10</v>
      </c>
      <c r="D53" s="9" t="n"/>
      <c r="E53" s="9" t="n">
        <v>6</v>
      </c>
      <c r="F53" s="9">
        <f>IFERROR(MIN(C53,D53)*E53/C53,0)</f>
        <v/>
      </c>
      <c r="G53" s="9" t="n"/>
    </row>
    <row r="54" ht="14.15" customHeight="1">
      <c r="A54" s="7" t="n">
        <v>39</v>
      </c>
      <c r="B54" s="8" t="inlineStr">
        <is>
          <t>Tool box set</t>
        </is>
      </c>
      <c r="C54" s="9" t="n">
        <v>10</v>
      </c>
      <c r="D54" s="9" t="n"/>
      <c r="E54" s="9" t="n">
        <v>3</v>
      </c>
      <c r="F54" s="9">
        <f>IFERROR(MIN(C54,D54)*E54/C54,0)</f>
        <v/>
      </c>
      <c r="G54" s="9" t="n"/>
    </row>
    <row r="55">
      <c r="A55" s="10" t="inlineStr">
        <is>
          <t>Sum</t>
        </is>
      </c>
      <c r="B55" s="11" t="n"/>
      <c r="C55" s="11" t="n"/>
      <c r="D55" s="12" t="n"/>
      <c r="E55" s="10">
        <f>SUM(E16:E54)</f>
        <v/>
      </c>
      <c r="F55" s="10">
        <f>SUM(F16:F54)</f>
        <v/>
      </c>
      <c r="G55" s="13" t="n"/>
    </row>
    <row r="56">
      <c r="A56" s="10" t="inlineStr">
        <is>
          <t>Score out of 100</t>
        </is>
      </c>
      <c r="B56" s="11" t="n"/>
      <c r="C56" s="11" t="n"/>
      <c r="D56" s="11" t="n"/>
      <c r="E56" s="12" t="n"/>
      <c r="F56" s="10">
        <f>F55/E55*100</f>
        <v/>
      </c>
      <c r="G56" s="13" t="n"/>
    </row>
    <row r="57" ht="9.75" customHeight="1"/>
    <row r="58">
      <c r="A58" s="10" t="inlineStr">
        <is>
          <t xml:space="preserve">Total achieved points out of 30  </t>
        </is>
      </c>
      <c r="B58" s="11" t="n"/>
      <c r="C58" s="11" t="n"/>
      <c r="D58" s="11" t="n"/>
      <c r="E58" s="12" t="n"/>
      <c r="F58" s="10">
        <f>F56*30/100</f>
        <v/>
      </c>
      <c r="G58" s="10" t="inlineStr">
        <is>
          <t>Points</t>
        </is>
      </c>
    </row>
  </sheetData>
  <mergeCells count="8">
    <mergeCell ref="A13:G13"/>
    <mergeCell ref="C7:G7"/>
    <mergeCell ref="A1:G1"/>
    <mergeCell ref="A55:D55"/>
    <mergeCell ref="A57:G57"/>
    <mergeCell ref="A58:E58"/>
    <mergeCell ref="C8:G8"/>
    <mergeCell ref="A56:E5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Works in Energy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Electrical Works in Energy Sector</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Works in Energy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Generators (25 KVA) Diesel operated</t>
        </is>
      </c>
      <c r="C19" s="9" t="n">
        <v>1</v>
      </c>
      <c r="D19" s="9" t="n"/>
      <c r="E19" s="9" t="n">
        <v>9</v>
      </c>
      <c r="F19" s="9">
        <f>IFERROR(MIN(C19,D19)*E19/C19,0)</f>
        <v/>
      </c>
      <c r="G19" s="9" t="n"/>
    </row>
    <row r="20" ht="14.15" customHeight="1">
      <c r="A20" s="7" t="n">
        <v>5</v>
      </c>
      <c r="B20" s="8" t="inlineStr">
        <is>
          <t>Transformers (3-5KVA) single phase 220/110V</t>
        </is>
      </c>
      <c r="C20" s="9" t="n">
        <v>3</v>
      </c>
      <c r="D20" s="9" t="n"/>
      <c r="E20" s="9" t="n">
        <v>9</v>
      </c>
      <c r="F20" s="9">
        <f>IFERROR(MIN(C20,D20)*E20/C20,0)</f>
        <v/>
      </c>
      <c r="G20" s="9" t="n"/>
    </row>
    <row r="21" ht="14.15" customHeight="1">
      <c r="A21" s="7" t="n">
        <v>6</v>
      </c>
      <c r="B21" s="8" t="inlineStr">
        <is>
          <t>Circuit breakers (SPMCB, DPMCB, TPMCB)</t>
        </is>
      </c>
      <c r="C21" s="9" t="n">
        <v>6</v>
      </c>
      <c r="D21" s="9" t="n"/>
      <c r="E21" s="9" t="n">
        <v>7</v>
      </c>
      <c r="F21" s="9">
        <f>IFERROR(MIN(C21,D21)*E21/C21,0)</f>
        <v/>
      </c>
      <c r="G21" s="9" t="n"/>
    </row>
    <row r="22" ht="14.15" customHeight="1">
      <c r="A22" s="7" t="n">
        <v>7</v>
      </c>
      <c r="B22" s="8" t="inlineStr">
        <is>
          <t>Switchgear (CB, LBS, Relays, Fuses, CT, PT)</t>
        </is>
      </c>
      <c r="C22" s="9" t="n">
        <v>3</v>
      </c>
      <c r="D22" s="9" t="n"/>
      <c r="E22" s="9" t="n">
        <v>8</v>
      </c>
      <c r="F22" s="9">
        <f>IFERROR(MIN(C22,D22)*E22/C22,0)</f>
        <v/>
      </c>
      <c r="G22" s="9" t="inlineStr">
        <is>
          <t>03 (Each)</t>
        </is>
      </c>
    </row>
    <row r="23" ht="14.15" customHeight="1">
      <c r="A23" s="7" t="n">
        <v>8</v>
      </c>
      <c r="B23" s="8" t="inlineStr">
        <is>
          <t>3-phase induction Motor (3 to 5 hp.)</t>
        </is>
      </c>
      <c r="C23" s="9" t="n">
        <v>3</v>
      </c>
      <c r="D23" s="9" t="n"/>
      <c r="E23" s="9" t="n">
        <v>8</v>
      </c>
      <c r="F23" s="9">
        <f>IFERROR(MIN(C23,D23)*E23/C23,0)</f>
        <v/>
      </c>
      <c r="G23" s="9" t="n"/>
    </row>
    <row r="24" ht="14.15" customHeight="1">
      <c r="A24" s="7" t="n">
        <v>9</v>
      </c>
      <c r="B24" s="8" t="inlineStr">
        <is>
          <t>Motor Control panels (Star-Delta)</t>
        </is>
      </c>
      <c r="C24" s="9" t="n">
        <v>5</v>
      </c>
      <c r="D24" s="9" t="n"/>
      <c r="E24" s="9" t="n">
        <v>8</v>
      </c>
      <c r="F24" s="9">
        <f>IFERROR(MIN(C24,D24)*E24/C24,0)</f>
        <v/>
      </c>
      <c r="G24" s="9" t="inlineStr">
        <is>
          <t>05 sets</t>
        </is>
      </c>
    </row>
    <row r="25" ht="14.15" customHeight="1">
      <c r="A25" s="7" t="n">
        <v>10</v>
      </c>
      <c r="B25" s="8" t="inlineStr">
        <is>
          <t>Electrical goods/fittings</t>
        </is>
      </c>
      <c r="C25" s="9" t="n">
        <v>10</v>
      </c>
      <c r="D25" s="9" t="n"/>
      <c r="E25" s="9" t="n">
        <v>4</v>
      </c>
      <c r="F25" s="9">
        <f>IFERROR(MIN(C25,D25)*E25/C25,0)</f>
        <v/>
      </c>
      <c r="G25" s="9" t="inlineStr">
        <is>
          <t>10 for each</t>
        </is>
      </c>
    </row>
    <row r="26" ht="14.15" customHeight="1">
      <c r="A26" s="7" t="n">
        <v>11</v>
      </c>
      <c r="B26" s="8" t="inlineStr">
        <is>
          <t>Battery (50 AH, 12V) with charger</t>
        </is>
      </c>
      <c r="C26" s="9" t="n">
        <v>3</v>
      </c>
      <c r="D26" s="9" t="n"/>
      <c r="E26" s="9" t="n">
        <v>5</v>
      </c>
      <c r="F26" s="9">
        <f>IFERROR(MIN(C26,D26)*E26/C26,0)</f>
        <v/>
      </c>
      <c r="G26" s="9" t="n"/>
    </row>
    <row r="27" ht="14.15" customHeight="1">
      <c r="A27" s="7" t="n">
        <v>12</v>
      </c>
      <c r="B27" s="8" t="inlineStr">
        <is>
          <t>Distribution boards</t>
        </is>
      </c>
      <c r="C27" s="9" t="n">
        <v>5</v>
      </c>
      <c r="D27" s="9" t="n"/>
      <c r="E27" s="9" t="n">
        <v>7</v>
      </c>
      <c r="F27" s="9">
        <f>IFERROR(MIN(C27,D27)*E27/C27,0)</f>
        <v/>
      </c>
      <c r="G27" s="9" t="n"/>
    </row>
    <row r="28" ht="14.15" customHeight="1">
      <c r="A28" s="7" t="n">
        <v>13</v>
      </c>
      <c r="B28" s="8" t="inlineStr">
        <is>
          <t>Earthing equipment</t>
        </is>
      </c>
      <c r="C28" s="9" t="n">
        <v>3</v>
      </c>
      <c r="D28" s="9" t="n"/>
      <c r="E28" s="9" t="n">
        <v>7</v>
      </c>
      <c r="F28" s="9">
        <f>IFERROR(MIN(C28,D28)*E28/C28,0)</f>
        <v/>
      </c>
      <c r="G28" s="9" t="n"/>
    </row>
    <row r="29" ht="14.15" customHeight="1">
      <c r="A29" s="7" t="n">
        <v>14</v>
      </c>
      <c r="B29" s="8" t="inlineStr">
        <is>
          <t>Lightning protection system</t>
        </is>
      </c>
      <c r="C29" s="9" t="n">
        <v>3</v>
      </c>
      <c r="D29" s="9" t="n"/>
      <c r="E29" s="9" t="n">
        <v>6</v>
      </c>
      <c r="F29" s="9">
        <f>IFERROR(MIN(C29,D29)*E29/C29,0)</f>
        <v/>
      </c>
      <c r="G29" s="9" t="n"/>
    </row>
    <row r="30" ht="14.15" customHeight="1">
      <c r="A30" s="7" t="n">
        <v>15</v>
      </c>
      <c r="B30" s="8" t="inlineStr">
        <is>
          <t>Cable/Wire (1rm, 1.5rm, 2.5rm &amp; 1 coil flexible wire)</t>
        </is>
      </c>
      <c r="C30" s="9" t="n">
        <v>10</v>
      </c>
      <c r="D30" s="9" t="n"/>
      <c r="E30" s="9" t="n">
        <v>3</v>
      </c>
      <c r="F30" s="9">
        <f>IFERROR(MIN(C30,D30)*E30/C30,0)</f>
        <v/>
      </c>
      <c r="G30" s="9" t="inlineStr">
        <is>
          <t>10 coils</t>
        </is>
      </c>
    </row>
    <row r="31" ht="14.15" customHeight="1">
      <c r="A31" s="7" t="n">
        <v>16</v>
      </c>
      <c r="B31" s="8" t="inlineStr">
        <is>
          <t>Fire extinguisher</t>
        </is>
      </c>
      <c r="C31" s="9" t="n">
        <v>4</v>
      </c>
      <c r="D31" s="9" t="n"/>
      <c r="E31" s="9" t="n">
        <v>4</v>
      </c>
      <c r="F31" s="9">
        <f>IFERROR(MIN(C31,D31)*E31/C31,0)</f>
        <v/>
      </c>
      <c r="G31" s="9" t="n"/>
    </row>
    <row r="32" ht="14.15" customHeight="1">
      <c r="A32" s="7" t="n">
        <v>17</v>
      </c>
      <c r="B32" s="8" t="inlineStr">
        <is>
          <t>First aid box</t>
        </is>
      </c>
      <c r="C32" s="9" t="n">
        <v>3</v>
      </c>
      <c r="D32" s="9" t="n"/>
      <c r="E32" s="9" t="n">
        <v>4</v>
      </c>
      <c r="F32" s="9">
        <f>IFERROR(MIN(C32,D32)*E32/C32,0)</f>
        <v/>
      </c>
      <c r="G32" s="9" t="n"/>
    </row>
    <row r="33" ht="14.15" customHeight="1">
      <c r="A33" s="7" t="n">
        <v>18</v>
      </c>
      <c r="B33" s="8" t="inlineStr">
        <is>
          <t>Screwdrivers (insulated)</t>
        </is>
      </c>
      <c r="C33" s="9" t="n">
        <v>10</v>
      </c>
      <c r="D33" s="9" t="n"/>
      <c r="E33" s="9" t="n">
        <v>3</v>
      </c>
      <c r="F33" s="9">
        <f>IFERROR(MIN(C33,D33)*E33/C33,0)</f>
        <v/>
      </c>
      <c r="G33" s="9" t="n"/>
    </row>
    <row r="34" ht="14.15" customHeight="1">
      <c r="A34" s="7" t="n">
        <v>19</v>
      </c>
      <c r="B34" s="8" t="inlineStr">
        <is>
          <t>Combination pliers</t>
        </is>
      </c>
      <c r="C34" s="9" t="n">
        <v>10</v>
      </c>
      <c r="D34" s="9" t="n"/>
      <c r="E34" s="9" t="n">
        <v>3</v>
      </c>
      <c r="F34" s="9">
        <f>IFERROR(MIN(C34,D34)*E34/C34,0)</f>
        <v/>
      </c>
      <c r="G34" s="9" t="n"/>
    </row>
    <row r="35" ht="14.15" customHeight="1">
      <c r="A35" s="7" t="n">
        <v>20</v>
      </c>
      <c r="B35" s="8" t="inlineStr">
        <is>
          <t>Wire stripper and cutter</t>
        </is>
      </c>
      <c r="C35" s="9" t="n">
        <v>10</v>
      </c>
      <c r="D35" s="9" t="n"/>
      <c r="E35" s="9" t="n">
        <v>3</v>
      </c>
      <c r="F35" s="9">
        <f>IFERROR(MIN(C35,D35)*E35/C35,0)</f>
        <v/>
      </c>
      <c r="G35" s="9" t="n"/>
    </row>
    <row r="36" ht="14.15" customHeight="1">
      <c r="A36" s="7" t="n">
        <v>21</v>
      </c>
      <c r="B36" s="8" t="inlineStr">
        <is>
          <t>Crimping pliers</t>
        </is>
      </c>
      <c r="C36" s="9" t="n">
        <v>10</v>
      </c>
      <c r="D36" s="9" t="n"/>
      <c r="E36" s="9" t="n">
        <v>3</v>
      </c>
      <c r="F36" s="9">
        <f>IFERROR(MIN(C36,D36)*E36/C36,0)</f>
        <v/>
      </c>
      <c r="G36" s="9" t="n"/>
    </row>
    <row r="37" ht="14.15" customHeight="1">
      <c r="A37" s="7" t="n">
        <v>22</v>
      </c>
      <c r="B37" s="8" t="inlineStr">
        <is>
          <t>Tester</t>
        </is>
      </c>
      <c r="C37" s="9" t="n">
        <v>10</v>
      </c>
      <c r="D37" s="9" t="n"/>
      <c r="E37" s="9" t="n">
        <v>4</v>
      </c>
      <c r="F37" s="9">
        <f>IFERROR(MIN(C37,D37)*E37/C37,0)</f>
        <v/>
      </c>
      <c r="G37" s="9" t="n"/>
    </row>
    <row r="38" ht="14.15" customHeight="1">
      <c r="A38" s="7" t="n">
        <v>23</v>
      </c>
      <c r="B38" s="8" t="inlineStr">
        <is>
          <t>Voltage tester</t>
        </is>
      </c>
      <c r="C38" s="9" t="n">
        <v>10</v>
      </c>
      <c r="D38" s="9" t="n"/>
      <c r="E38" s="9" t="n">
        <v>4</v>
      </c>
      <c r="F38" s="9">
        <f>IFERROR(MIN(C38,D38)*E38/C38,0)</f>
        <v/>
      </c>
      <c r="G38" s="9" t="n"/>
    </row>
    <row r="39" ht="14.15" customHeight="1">
      <c r="A39" s="7" t="n">
        <v>24</v>
      </c>
      <c r="B39" s="8" t="inlineStr">
        <is>
          <t>Cable pulling tools</t>
        </is>
      </c>
      <c r="C39" s="9" t="n">
        <v>10</v>
      </c>
      <c r="D39" s="9" t="n"/>
      <c r="E39" s="9" t="n">
        <v>4</v>
      </c>
      <c r="F39" s="9">
        <f>IFERROR(MIN(C39,D39)*E39/C39,0)</f>
        <v/>
      </c>
      <c r="G39" s="9" t="n"/>
    </row>
    <row r="40" ht="14.15" customHeight="1">
      <c r="A40" s="7" t="n">
        <v>25</v>
      </c>
      <c r="B40" s="8" t="inlineStr">
        <is>
          <t>Drilling machine</t>
        </is>
      </c>
      <c r="C40" s="9" t="n">
        <v>10</v>
      </c>
      <c r="D40" s="9" t="n"/>
      <c r="E40" s="9" t="n">
        <v>6</v>
      </c>
      <c r="F40" s="9">
        <f>IFERROR(MIN(C40,D40)*E40/C40,0)</f>
        <v/>
      </c>
      <c r="G40" s="9" t="n"/>
    </row>
    <row r="41" ht="14.15" customHeight="1">
      <c r="A41" s="7" t="n">
        <v>26</v>
      </c>
      <c r="B41" s="8" t="inlineStr">
        <is>
          <t>Hack Saw</t>
        </is>
      </c>
      <c r="C41" s="9" t="n">
        <v>10</v>
      </c>
      <c r="D41" s="9" t="n"/>
      <c r="E41" s="9" t="n">
        <v>3</v>
      </c>
      <c r="F41" s="9">
        <f>IFERROR(MIN(C41,D41)*E41/C41,0)</f>
        <v/>
      </c>
      <c r="G41" s="9" t="n"/>
    </row>
    <row r="42" ht="14.15" customHeight="1">
      <c r="A42" s="7" t="n">
        <v>27</v>
      </c>
      <c r="B42" s="8" t="inlineStr">
        <is>
          <t>Pipe cutter</t>
        </is>
      </c>
      <c r="C42" s="9" t="n">
        <v>10</v>
      </c>
      <c r="D42" s="9" t="n"/>
      <c r="E42" s="9" t="n">
        <v>4</v>
      </c>
      <c r="F42" s="9">
        <f>IFERROR(MIN(C42,D42)*E42/C42,0)</f>
        <v/>
      </c>
      <c r="G42" s="9" t="n"/>
    </row>
    <row r="43" ht="14.15" customHeight="1">
      <c r="A43" s="7" t="n">
        <v>28</v>
      </c>
      <c r="B43" s="8" t="inlineStr">
        <is>
          <t>Multimeter</t>
        </is>
      </c>
      <c r="C43" s="9" t="n">
        <v>10</v>
      </c>
      <c r="D43" s="9" t="n"/>
      <c r="E43" s="9" t="n">
        <v>6</v>
      </c>
      <c r="F43" s="9">
        <f>IFERROR(MIN(C43,D43)*E43/C43,0)</f>
        <v/>
      </c>
      <c r="G43" s="9" t="n"/>
    </row>
    <row r="44" ht="14.15" customHeight="1">
      <c r="A44" s="7" t="n">
        <v>29</v>
      </c>
      <c r="B44" s="8" t="inlineStr">
        <is>
          <t>Clamp meter</t>
        </is>
      </c>
      <c r="C44" s="9" t="n">
        <v>10</v>
      </c>
      <c r="D44" s="9" t="n"/>
      <c r="E44" s="9" t="n">
        <v>6</v>
      </c>
      <c r="F44" s="9">
        <f>IFERROR(MIN(C44,D44)*E44/C44,0)</f>
        <v/>
      </c>
      <c r="G44" s="9" t="n"/>
    </row>
    <row r="45" ht="14.15" customHeight="1">
      <c r="A45" s="7" t="n">
        <v>30</v>
      </c>
      <c r="B45" s="8" t="inlineStr">
        <is>
          <t>Watt meter</t>
        </is>
      </c>
      <c r="C45" s="9" t="n">
        <v>10</v>
      </c>
      <c r="D45" s="9" t="n"/>
      <c r="E45" s="9" t="n">
        <v>5</v>
      </c>
      <c r="F45" s="9">
        <f>IFERROR(MIN(C45,D45)*E45/C45,0)</f>
        <v/>
      </c>
      <c r="G45" s="9" t="n"/>
    </row>
    <row r="46" ht="14.15" customHeight="1">
      <c r="A46" s="7" t="n">
        <v>31</v>
      </c>
      <c r="B46" s="8" t="inlineStr">
        <is>
          <t>Insulation resistance tester (Megger)</t>
        </is>
      </c>
      <c r="C46" s="9" t="n">
        <v>10</v>
      </c>
      <c r="D46" s="9" t="n"/>
      <c r="E46" s="9" t="n">
        <v>7</v>
      </c>
      <c r="F46" s="9">
        <f>IFERROR(MIN(C46,D46)*E46/C46,0)</f>
        <v/>
      </c>
      <c r="G46" s="9" t="n"/>
    </row>
    <row r="47" ht="14.15" customHeight="1">
      <c r="A47" s="7" t="n">
        <v>32</v>
      </c>
      <c r="B47" s="8" t="inlineStr">
        <is>
          <t>Earth resistance tester</t>
        </is>
      </c>
      <c r="C47" s="9" t="n">
        <v>10</v>
      </c>
      <c r="D47" s="9" t="n"/>
      <c r="E47" s="9" t="n">
        <v>7</v>
      </c>
      <c r="F47" s="9">
        <f>IFERROR(MIN(C47,D47)*E47/C47,0)</f>
        <v/>
      </c>
      <c r="G47" s="9" t="n"/>
    </row>
    <row r="48" ht="14.15" customHeight="1">
      <c r="A48" s="7" t="n">
        <v>33</v>
      </c>
      <c r="B48" s="8" t="inlineStr">
        <is>
          <t>Phase sequence tester</t>
        </is>
      </c>
      <c r="C48" s="9" t="n">
        <v>10</v>
      </c>
      <c r="D48" s="9" t="n"/>
      <c r="E48" s="9" t="n">
        <v>5</v>
      </c>
      <c r="F48" s="9">
        <f>IFERROR(MIN(C48,D48)*E48/C48,0)</f>
        <v/>
      </c>
      <c r="G48" s="9" t="n"/>
    </row>
    <row r="49" ht="14.15" customHeight="1">
      <c r="A49" s="7" t="n">
        <v>34</v>
      </c>
      <c r="B49" s="8" t="inlineStr">
        <is>
          <t>Continuity tester</t>
        </is>
      </c>
      <c r="C49" s="9" t="n">
        <v>10</v>
      </c>
      <c r="D49" s="9" t="n"/>
      <c r="E49" s="9" t="n">
        <v>4</v>
      </c>
      <c r="F49" s="9">
        <f>IFERROR(MIN(C49,D49)*E49/C49,0)</f>
        <v/>
      </c>
      <c r="G49" s="9" t="n"/>
    </row>
    <row r="50" ht="14.15" customHeight="1">
      <c r="A50" s="7" t="n">
        <v>35</v>
      </c>
      <c r="B50" s="8" t="inlineStr">
        <is>
          <t>OHM tester</t>
        </is>
      </c>
      <c r="C50" s="9" t="n">
        <v>10</v>
      </c>
      <c r="D50" s="9" t="n"/>
      <c r="E50" s="9" t="n">
        <v>4</v>
      </c>
      <c r="F50" s="9">
        <f>IFERROR(MIN(C50,D50)*E50/C50,0)</f>
        <v/>
      </c>
      <c r="G50" s="9" t="n"/>
    </row>
    <row r="51" ht="14.15" customHeight="1">
      <c r="A51" s="7" t="n">
        <v>36</v>
      </c>
      <c r="B51" s="8" t="inlineStr">
        <is>
          <t>Voltage detector</t>
        </is>
      </c>
      <c r="C51" s="9" t="n">
        <v>10</v>
      </c>
      <c r="D51" s="9" t="n"/>
      <c r="E51" s="9" t="n">
        <v>4</v>
      </c>
      <c r="F51" s="9">
        <f>IFERROR(MIN(C51,D51)*E51/C51,0)</f>
        <v/>
      </c>
      <c r="G51" s="9" t="n"/>
    </row>
    <row r="52" ht="14.15" customHeight="1">
      <c r="A52" s="7" t="n">
        <v>37</v>
      </c>
      <c r="B52" s="8" t="inlineStr">
        <is>
          <t>Power quality analyzer</t>
        </is>
      </c>
      <c r="C52" s="9" t="n">
        <v>10</v>
      </c>
      <c r="D52" s="9" t="n"/>
      <c r="E52" s="9" t="n">
        <v>7</v>
      </c>
      <c r="F52" s="9">
        <f>IFERROR(MIN(C52,D52)*E52/C52,0)</f>
        <v/>
      </c>
      <c r="G52" s="9" t="n"/>
    </row>
    <row r="53" ht="14.15" customHeight="1">
      <c r="A53" s="7" t="n">
        <v>38</v>
      </c>
      <c r="B53" s="8" t="inlineStr">
        <is>
          <t>Loop impedance tester</t>
        </is>
      </c>
      <c r="C53" s="9" t="n">
        <v>10</v>
      </c>
      <c r="D53" s="9" t="n"/>
      <c r="E53" s="9" t="n">
        <v>6</v>
      </c>
      <c r="F53" s="9">
        <f>IFERROR(MIN(C53,D53)*E53/C53,0)</f>
        <v/>
      </c>
      <c r="G53" s="9" t="n"/>
    </row>
    <row r="54" ht="14.15" customHeight="1">
      <c r="A54" s="7" t="n">
        <v>39</v>
      </c>
      <c r="B54" s="8" t="inlineStr">
        <is>
          <t>Tool box set</t>
        </is>
      </c>
      <c r="C54" s="9" t="n">
        <v>10</v>
      </c>
      <c r="D54" s="9" t="n"/>
      <c r="E54" s="9" t="n">
        <v>3</v>
      </c>
      <c r="F54" s="9">
        <f>IFERROR(MIN(C54,D54)*E54/C54,0)</f>
        <v/>
      </c>
      <c r="G54" s="9" t="n"/>
    </row>
    <row r="55">
      <c r="A55" s="10" t="inlineStr">
        <is>
          <t>Sum</t>
        </is>
      </c>
      <c r="B55" s="11" t="n"/>
      <c r="C55" s="11" t="n"/>
      <c r="D55" s="12" t="n"/>
      <c r="E55" s="10">
        <f>SUM(E16:E54)</f>
        <v/>
      </c>
      <c r="F55" s="10">
        <f>SUM(F16:F54)</f>
        <v/>
      </c>
      <c r="G55" s="13" t="n"/>
    </row>
    <row r="56">
      <c r="A56" s="10" t="inlineStr">
        <is>
          <t>Score out of 100</t>
        </is>
      </c>
      <c r="B56" s="11" t="n"/>
      <c r="C56" s="11" t="n"/>
      <c r="D56" s="11" t="n"/>
      <c r="E56" s="12" t="n"/>
      <c r="F56" s="10">
        <f>F55/E55*100</f>
        <v/>
      </c>
      <c r="G56" s="13" t="n"/>
    </row>
    <row r="57" ht="9.75" customHeight="1"/>
    <row r="58">
      <c r="A58" s="10" t="inlineStr">
        <is>
          <t xml:space="preserve">Total achieved points out of 30  </t>
        </is>
      </c>
      <c r="B58" s="11" t="n"/>
      <c r="C58" s="11" t="n"/>
      <c r="D58" s="11" t="n"/>
      <c r="E58" s="12" t="n"/>
      <c r="F58" s="10">
        <f>F56*30/100</f>
        <v/>
      </c>
      <c r="G58" s="10" t="inlineStr">
        <is>
          <t>Points</t>
        </is>
      </c>
    </row>
  </sheetData>
  <mergeCells count="8">
    <mergeCell ref="A13:G13"/>
    <mergeCell ref="C7:G7"/>
    <mergeCell ref="A1:G1"/>
    <mergeCell ref="A55:D55"/>
    <mergeCell ref="A57:G57"/>
    <mergeCell ref="A58:E58"/>
    <mergeCell ref="C8:G8"/>
    <mergeCell ref="A56:E5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2026-08-17T07:23:47Z</dcterms:modified>
</cp:coreProperties>
</file>
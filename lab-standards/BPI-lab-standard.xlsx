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as Pipe Welding" sheetId="1" state="visible" r:id="rId1"/>
    <sheet xmlns:r="http://schemas.openxmlformats.org/officeDocument/2006/relationships" name="Advanced Pipe Fitting" sheetId="2" state="visible" r:id="rId2"/>
    <sheet xmlns:r="http://schemas.openxmlformats.org/officeDocument/2006/relationships" name="Electrical Works"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Gas Pipe Welding in Energy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Gas Pipe Welding in Energy Sector</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Gas Pipe Welding in Energy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 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AC/DC Arc welding machine</t>
        </is>
      </c>
      <c r="C19" s="9" t="n">
        <v>10</v>
      </c>
      <c r="D19" s="9" t="n">
        <v>0</v>
      </c>
      <c r="E19" s="9" t="n">
        <v>9</v>
      </c>
      <c r="F19" s="9">
        <f>IFERROR(MIN(C19,D19)*E19/C19,0)</f>
        <v/>
      </c>
      <c r="G19" s="9" t="n"/>
    </row>
    <row r="20" ht="14.15" customHeight="1">
      <c r="A20" s="14" t="n">
        <v>5</v>
      </c>
      <c r="B20" s="8" t="inlineStr">
        <is>
          <t>TIG welding machine</t>
        </is>
      </c>
      <c r="C20" s="9" t="n">
        <v>10</v>
      </c>
      <c r="D20" s="9" t="n">
        <v>0</v>
      </c>
      <c r="E20" s="9" t="n">
        <v>9</v>
      </c>
      <c r="F20" s="9">
        <f>IFERROR(MIN(C20,D20)*E20/C20,0)</f>
        <v/>
      </c>
      <c r="G20" s="9" t="n"/>
    </row>
    <row r="21" ht="14.15" customHeight="1">
      <c r="A21" s="14" t="n">
        <v>6</v>
      </c>
      <c r="B21" s="8" t="inlineStr">
        <is>
          <t>Gas cutting set</t>
        </is>
      </c>
      <c r="C21" s="9" t="n">
        <v>3</v>
      </c>
      <c r="D21" s="9" t="n">
        <v>0</v>
      </c>
      <c r="E21" s="9" t="n">
        <v>8</v>
      </c>
      <c r="F21" s="9">
        <f>IFERROR(MIN(C21,D21)*E21/C21,0)</f>
        <v/>
      </c>
      <c r="G21" s="9" t="n"/>
    </row>
    <row r="22" ht="14.15" customHeight="1">
      <c r="A22" s="14" t="n">
        <v>7</v>
      </c>
      <c r="B22" s="8" t="inlineStr">
        <is>
          <t>Spare cylinder set (Argon, oxygen and acetylene)</t>
        </is>
      </c>
      <c r="C22" s="9" t="n">
        <v>1</v>
      </c>
      <c r="D22" s="9" t="n">
        <v>0</v>
      </c>
      <c r="E22" s="9" t="n">
        <v>6</v>
      </c>
      <c r="F22" s="9">
        <f>IFERROR(MIN(C22,D22)*E22/C22,0)</f>
        <v/>
      </c>
      <c r="G22" s="9" t="n"/>
    </row>
    <row r="23" ht="14.15" customHeight="1">
      <c r="A23" s="14" t="n">
        <v>8</v>
      </c>
      <c r="B23" s="8" t="inlineStr">
        <is>
          <t>Hand grinding machine</t>
        </is>
      </c>
      <c r="C23" s="9" t="n">
        <v>10</v>
      </c>
      <c r="D23" s="9" t="n">
        <v>0</v>
      </c>
      <c r="E23" s="9" t="n">
        <v>6</v>
      </c>
      <c r="F23" s="9">
        <f>IFERROR(MIN(C23,D23)*E23/C23,0)</f>
        <v/>
      </c>
      <c r="G23" s="9" t="n"/>
    </row>
    <row r="24" ht="14.15" customHeight="1">
      <c r="A24" s="14" t="n">
        <v>9</v>
      </c>
      <c r="B24" s="8" t="inlineStr">
        <is>
          <t>Bench vice</t>
        </is>
      </c>
      <c r="C24" s="9" t="n">
        <v>10</v>
      </c>
      <c r="D24" s="9" t="n">
        <v>0</v>
      </c>
      <c r="E24" s="9" t="n">
        <v>5</v>
      </c>
      <c r="F24" s="9">
        <f>IFERROR(MIN(C24,D24)*E24/C24,0)</f>
        <v/>
      </c>
      <c r="G24" s="9" t="n"/>
    </row>
    <row r="25" ht="14.15" customHeight="1">
      <c r="A25" s="14" t="n">
        <v>10</v>
      </c>
      <c r="B25" s="8" t="inlineStr">
        <is>
          <t>Tool box set for welding workshop</t>
        </is>
      </c>
      <c r="C25" s="9" t="n">
        <v>10</v>
      </c>
      <c r="D25" s="9" t="n">
        <v>0</v>
      </c>
      <c r="E25" s="9" t="n">
        <v>5</v>
      </c>
      <c r="F25" s="9">
        <f>IFERROR(MIN(C25,D25)*E25/C25,0)</f>
        <v/>
      </c>
      <c r="G25" s="9" t="n"/>
    </row>
    <row r="26" ht="14.15" customHeight="1">
      <c r="A26" s="14" t="n">
        <v>11</v>
      </c>
      <c r="B26" s="8" t="inlineStr">
        <is>
          <t>Fire extinguisher</t>
        </is>
      </c>
      <c r="C26" s="9" t="n">
        <v>4</v>
      </c>
      <c r="D26" s="9" t="n">
        <v>0</v>
      </c>
      <c r="E26" s="9" t="n">
        <v>4</v>
      </c>
      <c r="F26" s="9">
        <f>IFERROR(MIN(C26,D26)*E26/C26,0)</f>
        <v/>
      </c>
      <c r="G26" s="9" t="n"/>
    </row>
    <row r="27" ht="14.15" customHeight="1">
      <c r="A27" s="14" t="n">
        <v>12</v>
      </c>
      <c r="B27" s="8" t="inlineStr">
        <is>
          <t>Welding booth with exhaust system</t>
        </is>
      </c>
      <c r="C27" s="9" t="n">
        <v>10</v>
      </c>
      <c r="D27" s="9" t="n">
        <v>0</v>
      </c>
      <c r="E27" s="9" t="n">
        <v>7</v>
      </c>
      <c r="F27" s="9">
        <f>IFERROR(MIN(C27,D27)*E27/C27,0)</f>
        <v/>
      </c>
      <c r="G27" s="9" t="n"/>
    </row>
    <row r="28" ht="14.15" customHeight="1">
      <c r="A28" s="14" t="n">
        <v>13</v>
      </c>
      <c r="B28" s="8" t="inlineStr">
        <is>
          <t>First aid box</t>
        </is>
      </c>
      <c r="C28" s="9" t="n">
        <v>3</v>
      </c>
      <c r="D28" s="9" t="n">
        <v>0</v>
      </c>
      <c r="E28" s="9" t="n">
        <v>3</v>
      </c>
      <c r="F28" s="9">
        <f>IFERROR(MIN(C28,D28)*E28/C28,0)</f>
        <v/>
      </c>
      <c r="G28" s="9" t="n"/>
    </row>
    <row r="29">
      <c r="A29" s="15" t="inlineStr">
        <is>
          <t>Sum</t>
        </is>
      </c>
      <c r="B29" s="11" t="n"/>
      <c r="C29" s="11" t="n"/>
      <c r="D29" s="12" t="n"/>
      <c r="E29" s="15">
        <f>SUM(E16:E28)</f>
        <v/>
      </c>
      <c r="F29" s="15">
        <f>SUM(F16:F28)</f>
        <v/>
      </c>
      <c r="G29" s="13" t="n"/>
    </row>
    <row r="30">
      <c r="A30" s="15" t="inlineStr">
        <is>
          <t>Score out of 100</t>
        </is>
      </c>
      <c r="B30" s="11" t="n"/>
      <c r="C30" s="11" t="n"/>
      <c r="D30" s="11" t="n"/>
      <c r="E30" s="12" t="n"/>
      <c r="F30" s="15">
        <f>F29/E29*100</f>
        <v/>
      </c>
      <c r="G30" s="13" t="n"/>
    </row>
    <row r="31" ht="9.75" customHeight="1"/>
    <row r="32">
      <c r="A32" s="15" t="inlineStr">
        <is>
          <t xml:space="preserve">Total achieved points out of 30  </t>
        </is>
      </c>
      <c r="B32" s="11" t="n"/>
      <c r="C32" s="11" t="n"/>
      <c r="D32" s="11" t="n"/>
      <c r="E32" s="12" t="n"/>
      <c r="F32" s="15">
        <f>F30*30/100</f>
        <v/>
      </c>
      <c r="G32" s="15" t="inlineStr">
        <is>
          <t>Points</t>
        </is>
      </c>
    </row>
    <row r="33" ht="14.15" customHeight="1">
      <c r="A33" s="5" t="inlineStr">
        <is>
          <t>* For this course, the institute should have at least 8 welding booths. Otherwise, the total points achieved will be halved.</t>
        </is>
      </c>
    </row>
  </sheetData>
  <mergeCells count="9">
    <mergeCell ref="A30:E30"/>
    <mergeCell ref="A13:G13"/>
    <mergeCell ref="A33:G33"/>
    <mergeCell ref="C7:G7"/>
    <mergeCell ref="A1:G1"/>
    <mergeCell ref="A31:G31"/>
    <mergeCell ref="A29:D29"/>
    <mergeCell ref="A32:E32"/>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Pipe Fitting for Gas and Onshore Rigs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Pipe Fitting for Gas and Onshore Rigs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Pipe Fitting for Gas and Onshore Rigs,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 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AC/DC Arc welding machine</t>
        </is>
      </c>
      <c r="C19" s="9" t="n">
        <v>10</v>
      </c>
      <c r="D19" s="9" t="n">
        <v>0</v>
      </c>
      <c r="E19" s="9" t="n">
        <v>9</v>
      </c>
      <c r="F19" s="9">
        <f>IFERROR(MIN(C19,D19)*E19/C19,0)</f>
        <v/>
      </c>
      <c r="G19" s="9" t="n"/>
    </row>
    <row r="20" ht="14.15" customHeight="1">
      <c r="A20" s="14" t="n">
        <v>5</v>
      </c>
      <c r="B20" s="8" t="inlineStr">
        <is>
          <t>Gas cutting set</t>
        </is>
      </c>
      <c r="C20" s="9" t="n">
        <v>3</v>
      </c>
      <c r="D20" s="9" t="n">
        <v>0</v>
      </c>
      <c r="E20" s="9" t="n">
        <v>8</v>
      </c>
      <c r="F20" s="9">
        <f>IFERROR(MIN(C20,D20)*E20/C20,0)</f>
        <v/>
      </c>
      <c r="G20" s="9" t="n"/>
    </row>
    <row r="21" ht="14.15" customHeight="1">
      <c r="A21" s="14" t="n">
        <v>6</v>
      </c>
      <c r="B21" s="8" t="inlineStr">
        <is>
          <t>Spare cylinder set (Argon, oxygen and acetylene)</t>
        </is>
      </c>
      <c r="C21" s="9" t="n">
        <v>1</v>
      </c>
      <c r="D21" s="9" t="n">
        <v>0</v>
      </c>
      <c r="E21" s="9" t="n">
        <v>6</v>
      </c>
      <c r="F21" s="9">
        <f>IFERROR(MIN(C21,D21)*E21/C21,0)</f>
        <v/>
      </c>
      <c r="G21" s="9" t="n"/>
    </row>
    <row r="22" ht="14.15" customHeight="1">
      <c r="A22" s="14" t="n">
        <v>7</v>
      </c>
      <c r="B22" s="8" t="inlineStr">
        <is>
          <t>Hand grinding machine</t>
        </is>
      </c>
      <c r="C22" s="9" t="n">
        <v>10</v>
      </c>
      <c r="D22" s="9" t="n">
        <v>0</v>
      </c>
      <c r="E22" s="9" t="n">
        <v>6</v>
      </c>
      <c r="F22" s="9">
        <f>IFERROR(MIN(C22,D22)*E22/C22,0)</f>
        <v/>
      </c>
      <c r="G22" s="9" t="n"/>
    </row>
    <row r="23" ht="14.15" customHeight="1">
      <c r="A23" s="14" t="n">
        <v>8</v>
      </c>
      <c r="B23" s="8" t="inlineStr">
        <is>
          <t>Bench vice</t>
        </is>
      </c>
      <c r="C23" s="9" t="n">
        <v>10</v>
      </c>
      <c r="D23" s="9" t="n">
        <v>0</v>
      </c>
      <c r="E23" s="9" t="n">
        <v>5</v>
      </c>
      <c r="F23" s="9">
        <f>IFERROR(MIN(C23,D23)*E23/C23,0)</f>
        <v/>
      </c>
      <c r="G23" s="9" t="n"/>
    </row>
    <row r="24" ht="14.15" customHeight="1">
      <c r="A24" s="14" t="n">
        <v>9</v>
      </c>
      <c r="B24" s="8" t="inlineStr">
        <is>
          <t>Tool box set for welding workshop</t>
        </is>
      </c>
      <c r="C24" s="9" t="n">
        <v>10</v>
      </c>
      <c r="D24" s="9" t="n">
        <v>0</v>
      </c>
      <c r="E24" s="9" t="n">
        <v>4</v>
      </c>
      <c r="F24" s="9">
        <f>IFERROR(MIN(C24,D24)*E24/C24,0)</f>
        <v/>
      </c>
      <c r="G24" s="9" t="n"/>
    </row>
    <row r="25" ht="14.15" customHeight="1">
      <c r="A25" s="14" t="n">
        <v>10</v>
      </c>
      <c r="B25" s="8" t="inlineStr">
        <is>
          <t>Fire extinguisher</t>
        </is>
      </c>
      <c r="C25" s="9" t="n">
        <v>4</v>
      </c>
      <c r="D25" s="9" t="n">
        <v>0</v>
      </c>
      <c r="E25" s="9" t="n">
        <v>5</v>
      </c>
      <c r="F25" s="9">
        <f>IFERROR(MIN(C25,D25)*E25/C25,0)</f>
        <v/>
      </c>
      <c r="G25" s="9" t="n"/>
    </row>
    <row r="26" ht="14.15" customHeight="1">
      <c r="A26" s="14" t="n">
        <v>11</v>
      </c>
      <c r="B26" s="8" t="inlineStr">
        <is>
          <t>Welding booth with exhaust system</t>
        </is>
      </c>
      <c r="C26" s="9" t="n">
        <v>10</v>
      </c>
      <c r="D26" s="9" t="n">
        <v>0</v>
      </c>
      <c r="E26" s="9" t="n">
        <v>6</v>
      </c>
      <c r="F26" s="9">
        <f>IFERROR(MIN(C26,D26)*E26/C26,0)</f>
        <v/>
      </c>
      <c r="G26" s="9" t="n"/>
    </row>
    <row r="27" ht="14.15" customHeight="1">
      <c r="A27" s="14" t="n">
        <v>12</v>
      </c>
      <c r="B27" s="8" t="inlineStr">
        <is>
          <t>First aid box</t>
        </is>
      </c>
      <c r="C27" s="9" t="n">
        <v>3</v>
      </c>
      <c r="D27" s="9" t="n">
        <v>0</v>
      </c>
      <c r="E27" s="9" t="n">
        <v>4</v>
      </c>
      <c r="F27" s="9">
        <f>IFERROR(MIN(C27,D27)*E27/C27,0)</f>
        <v/>
      </c>
      <c r="G27" s="9" t="n"/>
    </row>
    <row r="28" ht="14.15" customHeight="1">
      <c r="A28" s="14" t="n">
        <v>13</v>
      </c>
      <c r="B28" s="8" t="inlineStr">
        <is>
          <t>Baby Grinder (4’’)</t>
        </is>
      </c>
      <c r="C28" s="9" t="n">
        <v>4</v>
      </c>
      <c r="D28" s="9" t="n">
        <v>0</v>
      </c>
      <c r="E28" s="9" t="n">
        <v>4</v>
      </c>
      <c r="F28" s="9">
        <f>IFERROR(MIN(C28,D28)*E28/C28,0)</f>
        <v/>
      </c>
      <c r="G28" s="9" t="n"/>
    </row>
    <row r="29" ht="14.15" customHeight="1">
      <c r="A29" s="14" t="n">
        <v>14</v>
      </c>
      <c r="B29" s="8" t="inlineStr">
        <is>
          <t>Chain tong</t>
        </is>
      </c>
      <c r="C29" s="9" t="n">
        <v>2</v>
      </c>
      <c r="D29" s="9" t="n">
        <v>0</v>
      </c>
      <c r="E29" s="9" t="n">
        <v>7</v>
      </c>
      <c r="F29" s="9">
        <f>IFERROR(MIN(C29,D29)*E29/C29,0)</f>
        <v/>
      </c>
      <c r="G29" s="9" t="n"/>
    </row>
    <row r="30" ht="14.15" customHeight="1">
      <c r="A30" s="14" t="n">
        <v>15</v>
      </c>
      <c r="B30" s="8" t="inlineStr">
        <is>
          <t>Pipe bender/Tube bender</t>
        </is>
      </c>
      <c r="C30" s="9" t="n">
        <v>2</v>
      </c>
      <c r="D30" s="9" t="n">
        <v>0</v>
      </c>
      <c r="E30" s="9" t="n">
        <v>8</v>
      </c>
      <c r="F30" s="9">
        <f>IFERROR(MIN(C30,D30)*E30/C30,0)</f>
        <v/>
      </c>
      <c r="G30" s="9" t="n"/>
    </row>
    <row r="31">
      <c r="A31" s="15" t="inlineStr">
        <is>
          <t>Sum</t>
        </is>
      </c>
      <c r="B31" s="11" t="n"/>
      <c r="C31" s="11" t="n"/>
      <c r="D31" s="12" t="n"/>
      <c r="E31" s="15">
        <f>SUM(E16:E30)</f>
        <v/>
      </c>
      <c r="F31" s="15">
        <f>SUM(F16:F30)</f>
        <v/>
      </c>
      <c r="G31" s="13" t="n"/>
    </row>
    <row r="32">
      <c r="A32" s="15" t="inlineStr">
        <is>
          <t>Score out of 100</t>
        </is>
      </c>
      <c r="B32" s="11" t="n"/>
      <c r="C32" s="11" t="n"/>
      <c r="D32" s="11" t="n"/>
      <c r="E32" s="12" t="n"/>
      <c r="F32" s="15">
        <f>F31/E31*100</f>
        <v/>
      </c>
      <c r="G32" s="13" t="n"/>
    </row>
    <row r="33" ht="9.75" customHeight="1"/>
    <row r="34">
      <c r="A34" s="15" t="inlineStr">
        <is>
          <t xml:space="preserve">Total achieved points out of 30  </t>
        </is>
      </c>
      <c r="B34" s="11" t="n"/>
      <c r="C34" s="11" t="n"/>
      <c r="D34" s="11" t="n"/>
      <c r="E34" s="12" t="n"/>
      <c r="F34" s="15">
        <f>F32*30/100</f>
        <v/>
      </c>
      <c r="G34" s="15" t="inlineStr">
        <is>
          <t>Points</t>
        </is>
      </c>
    </row>
  </sheetData>
  <mergeCells count="8">
    <mergeCell ref="A13:G13"/>
    <mergeCell ref="A34:E34"/>
    <mergeCell ref="C7:G7"/>
    <mergeCell ref="A33:G33"/>
    <mergeCell ref="A1:G1"/>
    <mergeCell ref="A31:D31"/>
    <mergeCell ref="A32:E32"/>
    <mergeCell ref="C8:G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Works in Energy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Works in Energy Sector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Works in Energy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5</v>
      </c>
      <c r="F16" s="9">
        <f>IFERROR(MIN(C16,D16)*E16/C16,0)</f>
        <v/>
      </c>
      <c r="G16" s="9" t="n"/>
    </row>
    <row r="17" ht="14.15" customHeight="1">
      <c r="A17" s="14" t="n">
        <v>2</v>
      </c>
      <c r="B17" s="8" t="inlineStr">
        <is>
          <t>Multimedia Projector with projection screen</t>
        </is>
      </c>
      <c r="C17" s="9" t="n">
        <v>1</v>
      </c>
      <c r="D17" s="9" t="n">
        <v>0</v>
      </c>
      <c r="E17" s="9" t="n">
        <v>5</v>
      </c>
      <c r="F17" s="9">
        <f>IFERROR(MIN(C17,D17)*E17/C17,0)</f>
        <v/>
      </c>
      <c r="G17" s="9" t="n"/>
    </row>
    <row r="18" ht="14.15" customHeight="1">
      <c r="A18" s="14" t="n">
        <v>3</v>
      </c>
      <c r="B18" s="8" t="inlineStr">
        <is>
          <t>Internet Connectivity for Video-based and flipped-classroom deliver</t>
        </is>
      </c>
      <c r="C18" s="9" t="n">
        <v>1</v>
      </c>
      <c r="D18" s="9" t="n">
        <v>0</v>
      </c>
      <c r="E18" s="9" t="n">
        <v>5</v>
      </c>
      <c r="F18" s="9">
        <f>IFERROR(MIN(C18,D18)*E18/C18,0)</f>
        <v/>
      </c>
      <c r="G18" s="9" t="inlineStr">
        <is>
          <t>01 line</t>
        </is>
      </c>
    </row>
    <row r="19" ht="14.15" customHeight="1">
      <c r="A19" s="14" t="n">
        <v>4</v>
      </c>
      <c r="B19" s="8" t="inlineStr">
        <is>
          <t>Whiteboard with Accessories</t>
        </is>
      </c>
      <c r="C19" s="9" t="n">
        <v>1</v>
      </c>
      <c r="D19" s="9" t="n">
        <v>0</v>
      </c>
      <c r="E19" s="9" t="n">
        <v>3</v>
      </c>
      <c r="F19" s="9">
        <f>IFERROR(MIN(C19,D19)*E19/C19,0)</f>
        <v/>
      </c>
      <c r="G19" s="9" t="n"/>
    </row>
    <row r="20" ht="14.15" customHeight="1">
      <c r="A20" s="14" t="n">
        <v>5</v>
      </c>
      <c r="B20" s="8" t="inlineStr">
        <is>
          <t>Training Seating set and instructor desk</t>
        </is>
      </c>
      <c r="C20" s="9" t="n">
        <v>26</v>
      </c>
      <c r="D20" s="9" t="n">
        <v>0</v>
      </c>
      <c r="E20" s="9" t="n">
        <v>3</v>
      </c>
      <c r="F20" s="9">
        <f>IFERROR(MIN(C20,D20)*E20/C20,0)</f>
        <v/>
      </c>
      <c r="G20" s="9" t="inlineStr">
        <is>
          <t>26 (25+01)</t>
        </is>
      </c>
    </row>
    <row r="21" ht="14.15" customHeight="1">
      <c r="A21" s="14" t="n">
        <v>6</v>
      </c>
      <c r="B21" s="8" t="inlineStr">
        <is>
          <t>Charts/ models: Electrical symbols, single-line diagram, wiring diagram, safety signs, electric-shock treatment</t>
        </is>
      </c>
      <c r="C21" s="9" t="n">
        <v>1</v>
      </c>
      <c r="D21" s="9" t="n">
        <v>0</v>
      </c>
      <c r="E21" s="9" t="n">
        <v>3</v>
      </c>
      <c r="F21" s="9">
        <f>IFERROR(MIN(C21,D21)*E21/C21,0)</f>
        <v/>
      </c>
      <c r="G21" s="9" t="inlineStr">
        <is>
          <t>01 set</t>
        </is>
      </c>
    </row>
    <row r="22" ht="14.15" customHeight="1">
      <c r="A22" s="14" t="n">
        <v>7</v>
      </c>
      <c r="B22" s="8" t="inlineStr">
        <is>
          <t>Diesel Generator Set, 3-phase/1 phase, 400/V230V, ≥5 kVA</t>
        </is>
      </c>
      <c r="C22" s="9" t="n">
        <v>1</v>
      </c>
      <c r="D22" s="9" t="n">
        <v>0</v>
      </c>
      <c r="E22" s="9" t="n">
        <v>9</v>
      </c>
      <c r="F22" s="9">
        <f>IFERROR(MIN(C22,D22)*E22/C22,0)</f>
        <v/>
      </c>
      <c r="G22" s="9" t="n"/>
    </row>
    <row r="23" ht="14.15" customHeight="1">
      <c r="A23" s="14" t="n">
        <v>8</v>
      </c>
      <c r="B23" s="8" t="inlineStr">
        <is>
          <t>Automatic Transfer Switch(ATS)</t>
        </is>
      </c>
      <c r="C23" s="9" t="n">
        <v>1</v>
      </c>
      <c r="D23" s="9" t="n">
        <v>0</v>
      </c>
      <c r="E23" s="9" t="n">
        <v>7</v>
      </c>
      <c r="F23" s="9">
        <f>IFERROR(MIN(C23,D23)*E23/C23,0)</f>
        <v/>
      </c>
      <c r="G23" s="9" t="n"/>
    </row>
    <row r="24" ht="14.15" customHeight="1">
      <c r="A24" s="14" t="n">
        <v>9</v>
      </c>
      <c r="B24" s="8" t="inlineStr">
        <is>
          <t>Main LT panel 3-phase 400V (Incoming MCCB, busbar, CTs, Voltmeters/ammeter/energy meter, outgoing MCBs, indicator lamps)</t>
        </is>
      </c>
      <c r="C24" s="9" t="n">
        <v>1</v>
      </c>
      <c r="D24" s="9" t="n">
        <v>0</v>
      </c>
      <c r="E24" s="9" t="n">
        <v>8</v>
      </c>
      <c r="F24" s="9">
        <f>IFERROR(MIN(C24,D24)*E24/C24,0)</f>
        <v/>
      </c>
      <c r="G24" s="9" t="n"/>
    </row>
    <row r="25" ht="14.15" customHeight="1">
      <c r="A25" s="14" t="n">
        <v>10</v>
      </c>
      <c r="B25" s="8" t="inlineStr">
        <is>
          <t>Transformer bank, 3 × single phase 2-5 kVA 400/230 V</t>
        </is>
      </c>
      <c r="C25" s="9" t="n">
        <v>1</v>
      </c>
      <c r="D25" s="9" t="n">
        <v>0</v>
      </c>
      <c r="E25" s="9" t="n">
        <v>9</v>
      </c>
      <c r="F25" s="9">
        <f>IFERROR(MIN(C25,D25)*E25/C25,0)</f>
        <v/>
      </c>
      <c r="G25" s="9" t="inlineStr">
        <is>
          <t>01 set</t>
        </is>
      </c>
    </row>
    <row r="26" ht="14.15" customHeight="1">
      <c r="A26" s="14" t="n">
        <v>11</v>
      </c>
      <c r="B26" s="8" t="inlineStr">
        <is>
          <t>Battery bank 12 V 50 Ah(lead-acid or VRL type) with charger and battery bench</t>
        </is>
      </c>
      <c r="C26" s="9" t="n">
        <v>1</v>
      </c>
      <c r="D26" s="9" t="n">
        <v>0</v>
      </c>
      <c r="E26" s="9" t="n">
        <v>5</v>
      </c>
      <c r="F26" s="9">
        <f>IFERROR(MIN(C26,D26)*E26/C26,0)</f>
        <v/>
      </c>
      <c r="G26" s="9" t="inlineStr">
        <is>
          <t>01 set</t>
        </is>
      </c>
    </row>
    <row r="27" ht="14.15" customHeight="1">
      <c r="A27" s="14" t="n">
        <v>12</v>
      </c>
      <c r="B27" s="8" t="inlineStr">
        <is>
          <t>Main Distribution Board (MDB) with Busbar, isolator, Circuit breakers)</t>
        </is>
      </c>
      <c r="C27" s="9" t="n">
        <v>1</v>
      </c>
      <c r="D27" s="9" t="n">
        <v>0</v>
      </c>
      <c r="E27" s="9" t="n">
        <v>7</v>
      </c>
      <c r="F27" s="9">
        <f>IFERROR(MIN(C27,D27)*E27/C27,0)</f>
        <v/>
      </c>
      <c r="G27" s="9" t="n"/>
    </row>
    <row r="28" ht="14.15" customHeight="1">
      <c r="A28" s="14" t="n">
        <v>13</v>
      </c>
      <c r="B28" s="8" t="inlineStr">
        <is>
          <t>Sub-distribution Board (SDB with MCB, MCCB, RCCB, ELCB )</t>
        </is>
      </c>
      <c r="C28" s="9" t="n">
        <v>5</v>
      </c>
      <c r="D28" s="9" t="n">
        <v>0</v>
      </c>
      <c r="E28" s="9" t="n">
        <v>7</v>
      </c>
      <c r="F28" s="9">
        <f>IFERROR(MIN(C28,D28)*E28/C28,0)</f>
        <v/>
      </c>
      <c r="G28" s="9" t="n"/>
    </row>
    <row r="29" ht="14.15" customHeight="1">
      <c r="A29" s="14" t="n">
        <v>14</v>
      </c>
      <c r="B29" s="8" t="inlineStr">
        <is>
          <t>3 phase energy meter (direct-connected and CT-operated for LT/HT metering practice</t>
        </is>
      </c>
      <c r="C29" s="9" t="n">
        <v>2</v>
      </c>
      <c r="D29" s="9" t="n">
        <v>0</v>
      </c>
      <c r="E29" s="9" t="n">
        <v>6</v>
      </c>
      <c r="F29" s="9">
        <f>IFERROR(MIN(C29,D29)*E29/C29,0)</f>
        <v/>
      </c>
      <c r="G29" s="9" t="n"/>
    </row>
    <row r="30" ht="14.15" customHeight="1">
      <c r="A30" s="14" t="n">
        <v>15</v>
      </c>
      <c r="B30" s="8" t="inlineStr">
        <is>
          <t>Energy meter, single phase</t>
        </is>
      </c>
      <c r="C30" s="9" t="n">
        <v>2</v>
      </c>
      <c r="D30" s="9" t="n">
        <v>0</v>
      </c>
      <c r="E30" s="9" t="n">
        <v>6</v>
      </c>
      <c r="F30" s="9">
        <f>IFERROR(MIN(C30,D30)*E30/C30,0)</f>
        <v/>
      </c>
      <c r="G30" s="9" t="n"/>
    </row>
    <row r="31" ht="14.15" customHeight="1">
      <c r="A31" s="14" t="n">
        <v>16</v>
      </c>
      <c r="B31" s="8" t="inlineStr">
        <is>
          <t>Load Bank, resistive-single phase~2KW</t>
        </is>
      </c>
      <c r="C31" s="9" t="n">
        <v>2</v>
      </c>
      <c r="D31" s="9" t="n">
        <v>0</v>
      </c>
      <c r="E31" s="9" t="n">
        <v>6</v>
      </c>
      <c r="F31" s="9">
        <f>IFERROR(MIN(C31,D31)*E31/C31,0)</f>
        <v/>
      </c>
      <c r="G31" s="9" t="n"/>
    </row>
    <row r="32" ht="14.15" customHeight="1">
      <c r="A32" s="14" t="n">
        <v>17</v>
      </c>
      <c r="B32" s="8" t="inlineStr">
        <is>
          <t>Wiring practice board with DB, one-way /two-way/intermediate switches, sockets outlets, ceiling rose, lamp, lamp holders, fan point</t>
        </is>
      </c>
      <c r="C32" s="9" t="n">
        <v>12</v>
      </c>
      <c r="D32" s="9" t="n">
        <v>0</v>
      </c>
      <c r="E32" s="9" t="n">
        <v>8</v>
      </c>
      <c r="F32" s="9">
        <f>IFERROR(MIN(C32,D32)*E32/C32,0)</f>
        <v/>
      </c>
      <c r="G32" s="9" t="n"/>
    </row>
    <row r="33" ht="14.15" customHeight="1">
      <c r="A33" s="14" t="n">
        <v>18</v>
      </c>
      <c r="B33" s="8" t="inlineStr">
        <is>
          <t>Cable tray</t>
        </is>
      </c>
      <c r="C33" s="9" t="n">
        <v>2</v>
      </c>
      <c r="D33" s="9" t="n">
        <v>0</v>
      </c>
      <c r="E33" s="9" t="n">
        <v>4</v>
      </c>
      <c r="F33" s="9">
        <f>IFERROR(MIN(C33,D33)*E33/C33,0)</f>
        <v/>
      </c>
      <c r="G33" s="9" t="inlineStr">
        <is>
          <t>02 sets</t>
        </is>
      </c>
    </row>
    <row r="34" ht="14.15" customHeight="1">
      <c r="A34" s="14" t="n">
        <v>19</v>
      </c>
      <c r="B34" s="8" t="inlineStr">
        <is>
          <t>3 phase induction motor 3-5 hp</t>
        </is>
      </c>
      <c r="C34" s="9" t="n">
        <v>5</v>
      </c>
      <c r="D34" s="9" t="n">
        <v>0</v>
      </c>
      <c r="E34" s="9" t="n">
        <v>8</v>
      </c>
      <c r="F34" s="9">
        <f>IFERROR(MIN(C34,D34)*E34/C34,0)</f>
        <v/>
      </c>
      <c r="G34" s="9" t="n"/>
    </row>
    <row r="35" ht="14.15" customHeight="1">
      <c r="A35" s="14" t="n">
        <v>20</v>
      </c>
      <c r="B35" s="8" t="inlineStr">
        <is>
          <t>Single phase motor- 0.5-1hp</t>
        </is>
      </c>
      <c r="C35" s="9" t="n">
        <v>5</v>
      </c>
      <c r="D35" s="9" t="n">
        <v>0</v>
      </c>
      <c r="E35" s="9" t="n">
        <v>7</v>
      </c>
      <c r="F35" s="9">
        <f>IFERROR(MIN(C35,D35)*E35/C35,0)</f>
        <v/>
      </c>
      <c r="G35" s="9" t="n"/>
    </row>
    <row r="36" ht="14.15" customHeight="1">
      <c r="A36" s="14" t="n">
        <v>21</v>
      </c>
      <c r="B36" s="8" t="inlineStr">
        <is>
          <t>Magnetic contactors with thermal overload relay</t>
        </is>
      </c>
      <c r="C36" s="9" t="n">
        <v>10</v>
      </c>
      <c r="D36" s="9" t="n">
        <v>0</v>
      </c>
      <c r="E36" s="9" t="n">
        <v>6</v>
      </c>
      <c r="F36" s="9">
        <f>IFERROR(MIN(C36,D36)*E36/C36,0)</f>
        <v/>
      </c>
      <c r="G36" s="9" t="n"/>
    </row>
    <row r="37" ht="14.15" customHeight="1">
      <c r="A37" s="14" t="n">
        <v>22</v>
      </c>
      <c r="B37" s="8" t="inlineStr">
        <is>
          <t>Motor starter panel: DOL ×2, star-delta ×2, forward-reverse ×1 (contactor, Overload relay, timer, push buttons, selector switch, indicator lamps)</t>
        </is>
      </c>
      <c r="C37" s="9" t="n">
        <v>5</v>
      </c>
      <c r="D37" s="9" t="n">
        <v>0</v>
      </c>
      <c r="E37" s="9" t="n">
        <v>8</v>
      </c>
      <c r="F37" s="9">
        <f>IFERROR(MIN(C37,D37)*E37/C37,0)</f>
        <v/>
      </c>
      <c r="G37" s="9" t="n"/>
    </row>
    <row r="38" ht="14.15" customHeight="1">
      <c r="A38" s="14" t="n">
        <v>23</v>
      </c>
      <c r="B38" s="8" t="inlineStr">
        <is>
          <t>Earthing installation training set(rod electrode, plate electrode, earth pit with chamber and other necessary accessories)</t>
        </is>
      </c>
      <c r="C38" s="9" t="n">
        <v>2</v>
      </c>
      <c r="D38" s="9" t="n">
        <v>0</v>
      </c>
      <c r="E38" s="9" t="n">
        <v>7</v>
      </c>
      <c r="F38" s="9">
        <f>IFERROR(MIN(C38,D38)*E38/C38,0)</f>
        <v/>
      </c>
      <c r="G38" s="9" t="inlineStr">
        <is>
          <t>02 sets</t>
        </is>
      </c>
    </row>
    <row r="39" ht="14.15" customHeight="1">
      <c r="A39" s="14" t="n">
        <v>24</v>
      </c>
      <c r="B39" s="8" t="inlineStr">
        <is>
          <t>Lightning Protection system demonstration set( not mandatory)</t>
        </is>
      </c>
      <c r="C39" s="9" t="n">
        <v>1</v>
      </c>
      <c r="D39" s="9" t="n">
        <v>0</v>
      </c>
      <c r="E39" s="9" t="n">
        <v>3</v>
      </c>
      <c r="F39" s="9">
        <f>IFERROR(MIN(C39,D39)*E39/C39,0)</f>
        <v/>
      </c>
      <c r="G39" s="9" t="inlineStr">
        <is>
          <t>01 set</t>
        </is>
      </c>
    </row>
    <row r="40" ht="14.15" customHeight="1">
      <c r="A40" s="14" t="n">
        <v>25</v>
      </c>
      <c r="B40" s="8" t="inlineStr">
        <is>
          <t>Work bench with bench vice</t>
        </is>
      </c>
      <c r="C40" s="9" t="n">
        <v>5</v>
      </c>
      <c r="D40" s="9" t="n">
        <v>0</v>
      </c>
      <c r="E40" s="9" t="n">
        <v>5</v>
      </c>
      <c r="F40" s="9">
        <f>IFERROR(MIN(C40,D40)*E40/C40,0)</f>
        <v/>
      </c>
      <c r="G40" s="9" t="n"/>
    </row>
    <row r="41" ht="14.15" customHeight="1">
      <c r="A41" s="14" t="n">
        <v>26</v>
      </c>
      <c r="B41" s="8" t="inlineStr">
        <is>
          <t>Tool Storage Cabinet</t>
        </is>
      </c>
      <c r="C41" s="9" t="n">
        <v>2</v>
      </c>
      <c r="D41" s="9" t="n">
        <v>0</v>
      </c>
      <c r="E41" s="9" t="n">
        <v>3</v>
      </c>
      <c r="F41" s="9">
        <f>IFERROR(MIN(C41,D41)*E41/C41,0)</f>
        <v/>
      </c>
      <c r="G41" s="9" t="n"/>
    </row>
    <row r="42" ht="14.15" customHeight="1">
      <c r="A42" s="14" t="n">
        <v>27</v>
      </c>
      <c r="B42" s="8" t="inlineStr">
        <is>
          <t>Material Storage Rack</t>
        </is>
      </c>
      <c r="C42" s="9" t="n">
        <v>2</v>
      </c>
      <c r="D42" s="9" t="n">
        <v>0</v>
      </c>
      <c r="E42" s="9" t="n">
        <v>4</v>
      </c>
      <c r="F42" s="9">
        <f>IFERROR(MIN(C42,D42)*E42/C42,0)</f>
        <v/>
      </c>
      <c r="G42" s="9" t="n"/>
    </row>
    <row r="43" ht="14.15" customHeight="1">
      <c r="A43" s="14" t="n">
        <v>28</v>
      </c>
      <c r="B43" s="8" t="inlineStr">
        <is>
          <t>Screwdriver set</t>
        </is>
      </c>
      <c r="C43" s="9" t="n">
        <v>25</v>
      </c>
      <c r="D43" s="9" t="n">
        <v>0</v>
      </c>
      <c r="E43" s="9" t="n">
        <v>3</v>
      </c>
      <c r="F43" s="9">
        <f>IFERROR(MIN(C43,D43)*E43/C43,0)</f>
        <v/>
      </c>
      <c r="G43" s="9" t="n"/>
    </row>
    <row r="44" ht="14.15" customHeight="1">
      <c r="A44" s="14" t="n">
        <v>29</v>
      </c>
      <c r="B44" s="8" t="inlineStr">
        <is>
          <t>Combination pliers</t>
        </is>
      </c>
      <c r="C44" s="9" t="n">
        <v>25</v>
      </c>
      <c r="D44" s="9" t="n">
        <v>0</v>
      </c>
      <c r="E44" s="9" t="n">
        <v>3</v>
      </c>
      <c r="F44" s="9">
        <f>IFERROR(MIN(C44,D44)*E44/C44,0)</f>
        <v/>
      </c>
      <c r="G44" s="9" t="n"/>
    </row>
    <row r="45" ht="14.15" customHeight="1">
      <c r="A45" s="14" t="n">
        <v>30</v>
      </c>
      <c r="B45" s="8" t="inlineStr">
        <is>
          <t>Long-nose pliers</t>
        </is>
      </c>
      <c r="C45" s="9" t="n">
        <v>13</v>
      </c>
      <c r="D45" s="9" t="n">
        <v>0</v>
      </c>
      <c r="E45" s="9" t="n">
        <v>3</v>
      </c>
      <c r="F45" s="9">
        <f>IFERROR(MIN(C45,D45)*E45/C45,0)</f>
        <v/>
      </c>
      <c r="G45" s="9" t="n"/>
    </row>
    <row r="46" ht="14.15" customHeight="1">
      <c r="A46" s="14" t="n">
        <v>31</v>
      </c>
      <c r="B46" s="8" t="inlineStr">
        <is>
          <t>Wire stripper and cutter</t>
        </is>
      </c>
      <c r="C46" s="9" t="n">
        <v>25</v>
      </c>
      <c r="D46" s="9" t="n">
        <v>0</v>
      </c>
      <c r="E46" s="9" t="n">
        <v>3</v>
      </c>
      <c r="F46" s="9">
        <f>IFERROR(MIN(C46,D46)*E46/C46,0)</f>
        <v/>
      </c>
      <c r="G46" s="9" t="n"/>
    </row>
    <row r="47" ht="14.15" customHeight="1">
      <c r="A47" s="14" t="n">
        <v>32</v>
      </c>
      <c r="B47" s="8" t="inlineStr">
        <is>
          <t>Crimping pliers</t>
        </is>
      </c>
      <c r="C47" s="9" t="n">
        <v>13</v>
      </c>
      <c r="D47" s="9" t="n">
        <v>0</v>
      </c>
      <c r="E47" s="9" t="n">
        <v>3</v>
      </c>
      <c r="F47" s="9">
        <f>IFERROR(MIN(C47,D47)*E47/C47,0)</f>
        <v/>
      </c>
      <c r="G47" s="9" t="n"/>
    </row>
    <row r="48" ht="14.15" customHeight="1">
      <c r="A48" s="14" t="n">
        <v>33</v>
      </c>
      <c r="B48" s="8" t="inlineStr">
        <is>
          <t>Cable lug crimper</t>
        </is>
      </c>
      <c r="C48" s="9" t="n">
        <v>2</v>
      </c>
      <c r="D48" s="9" t="n">
        <v>0</v>
      </c>
      <c r="E48" s="9" t="n">
        <v>4</v>
      </c>
      <c r="F48" s="9">
        <f>IFERROR(MIN(C48,D48)*E48/C48,0)</f>
        <v/>
      </c>
      <c r="G48" s="9" t="n"/>
    </row>
    <row r="49" ht="14.15" customHeight="1">
      <c r="A49" s="14" t="n">
        <v>34</v>
      </c>
      <c r="B49" s="8" t="inlineStr">
        <is>
          <t>Neon tester</t>
        </is>
      </c>
      <c r="C49" s="9" t="n">
        <v>25</v>
      </c>
      <c r="D49" s="9" t="n">
        <v>0</v>
      </c>
      <c r="E49" s="9" t="n">
        <v>4</v>
      </c>
      <c r="F49" s="9">
        <f>IFERROR(MIN(C49,D49)*E49/C49,0)</f>
        <v/>
      </c>
      <c r="G49" s="9" t="n"/>
    </row>
    <row r="50" ht="14.15" customHeight="1">
      <c r="A50" s="14" t="n">
        <v>35</v>
      </c>
      <c r="B50" s="8" t="inlineStr">
        <is>
          <t>Voltage detector</t>
        </is>
      </c>
      <c r="C50" s="9" t="n">
        <v>5</v>
      </c>
      <c r="D50" s="9" t="n">
        <v>0</v>
      </c>
      <c r="E50" s="9" t="n">
        <v>4</v>
      </c>
      <c r="F50" s="9">
        <f>IFERROR(MIN(C50,D50)*E50/C50,0)</f>
        <v/>
      </c>
      <c r="G50" s="9" t="n"/>
    </row>
    <row r="51" ht="14.15" customHeight="1">
      <c r="A51" s="14" t="n">
        <v>36</v>
      </c>
      <c r="B51" s="8" t="inlineStr">
        <is>
          <t>Multimeter</t>
        </is>
      </c>
      <c r="C51" s="9" t="n">
        <v>5</v>
      </c>
      <c r="D51" s="9" t="n">
        <v>0</v>
      </c>
      <c r="E51" s="9" t="n">
        <v>6</v>
      </c>
      <c r="F51" s="9">
        <f>IFERROR(MIN(C51,D51)*E51/C51,0)</f>
        <v/>
      </c>
      <c r="G51" s="9" t="n"/>
    </row>
    <row r="52" ht="14.15" customHeight="1">
      <c r="A52" s="14" t="n">
        <v>37</v>
      </c>
      <c r="B52" s="8" t="inlineStr">
        <is>
          <t>Clamp meter</t>
        </is>
      </c>
      <c r="C52" s="9" t="n">
        <v>5</v>
      </c>
      <c r="D52" s="9" t="n">
        <v>0</v>
      </c>
      <c r="E52" s="9" t="n">
        <v>6</v>
      </c>
      <c r="F52" s="9">
        <f>IFERROR(MIN(C52,D52)*E52/C52,0)</f>
        <v/>
      </c>
      <c r="G52" s="9" t="n"/>
    </row>
    <row r="53" ht="14.15" customHeight="1">
      <c r="A53" s="14" t="n">
        <v>38</v>
      </c>
      <c r="B53" s="8" t="inlineStr">
        <is>
          <t>Insulation resistance tester</t>
        </is>
      </c>
      <c r="C53" s="9" t="n">
        <v>2</v>
      </c>
      <c r="D53" s="9" t="n">
        <v>0</v>
      </c>
      <c r="E53" s="9" t="n">
        <v>7</v>
      </c>
      <c r="F53" s="9">
        <f>IFERROR(MIN(C53,D53)*E53/C53,0)</f>
        <v/>
      </c>
      <c r="G53" s="9" t="n"/>
    </row>
    <row r="54" ht="14.15" customHeight="1">
      <c r="A54" s="14" t="n">
        <v>39</v>
      </c>
      <c r="B54" s="8" t="inlineStr">
        <is>
          <t>Earth resistance tester</t>
        </is>
      </c>
      <c r="C54" s="9" t="n">
        <v>2</v>
      </c>
      <c r="D54" s="9" t="n">
        <v>0</v>
      </c>
      <c r="E54" s="9" t="n">
        <v>7</v>
      </c>
      <c r="F54" s="9">
        <f>IFERROR(MIN(C54,D54)*E54/C54,0)</f>
        <v/>
      </c>
      <c r="G54" s="9" t="n"/>
    </row>
    <row r="55" ht="14.15" customHeight="1">
      <c r="A55" s="14" t="n">
        <v>40</v>
      </c>
      <c r="B55" s="8" t="inlineStr">
        <is>
          <t>Phase sequence tester</t>
        </is>
      </c>
      <c r="C55" s="9" t="n">
        <v>2</v>
      </c>
      <c r="D55" s="9" t="n">
        <v>0</v>
      </c>
      <c r="E55" s="9" t="n">
        <v>5</v>
      </c>
      <c r="F55" s="9">
        <f>IFERROR(MIN(C55,D55)*E55/C55,0)</f>
        <v/>
      </c>
      <c r="G55" s="9" t="n"/>
    </row>
    <row r="56" ht="14.15" customHeight="1">
      <c r="A56" s="14" t="n">
        <v>41</v>
      </c>
      <c r="B56" s="8" t="inlineStr">
        <is>
          <t>Electric drill</t>
        </is>
      </c>
      <c r="C56" s="9" t="n">
        <v>5</v>
      </c>
      <c r="D56" s="9" t="n">
        <v>0</v>
      </c>
      <c r="E56" s="9" t="n">
        <v>6</v>
      </c>
      <c r="F56" s="9">
        <f>IFERROR(MIN(C56,D56)*E56/C56,0)</f>
        <v/>
      </c>
      <c r="G56" s="9" t="n"/>
    </row>
    <row r="57" ht="14.15" customHeight="1">
      <c r="A57" s="14" t="n">
        <v>42</v>
      </c>
      <c r="B57" s="8" t="inlineStr">
        <is>
          <t>Hack saw</t>
        </is>
      </c>
      <c r="C57" s="9" t="n">
        <v>5</v>
      </c>
      <c r="D57" s="9" t="n">
        <v>0</v>
      </c>
      <c r="E57" s="9" t="n">
        <v>3</v>
      </c>
      <c r="F57" s="9">
        <f>IFERROR(MIN(C57,D57)*E57/C57,0)</f>
        <v/>
      </c>
      <c r="G57" s="9" t="n"/>
    </row>
    <row r="58" ht="14.15" customHeight="1">
      <c r="A58" s="14" t="n">
        <v>43</v>
      </c>
      <c r="B58" s="8" t="inlineStr">
        <is>
          <t>Pipe cutter</t>
        </is>
      </c>
      <c r="C58" s="9" t="n">
        <v>5</v>
      </c>
      <c r="D58" s="9" t="n">
        <v>0</v>
      </c>
      <c r="E58" s="9" t="n">
        <v>4</v>
      </c>
      <c r="F58" s="9">
        <f>IFERROR(MIN(C58,D58)*E58/C58,0)</f>
        <v/>
      </c>
      <c r="G58" s="9" t="n"/>
    </row>
    <row r="59" ht="14.15" customHeight="1">
      <c r="A59" s="14" t="n">
        <v>44</v>
      </c>
      <c r="B59" s="8" t="inlineStr">
        <is>
          <t>Conduit bender</t>
        </is>
      </c>
      <c r="C59" s="9" t="n">
        <v>5</v>
      </c>
      <c r="D59" s="9" t="n">
        <v>0</v>
      </c>
      <c r="E59" s="9" t="n">
        <v>4</v>
      </c>
      <c r="F59" s="9">
        <f>IFERROR(MIN(C59,D59)*E59/C59,0)</f>
        <v/>
      </c>
      <c r="G59" s="9" t="n"/>
    </row>
    <row r="60" ht="14.15" customHeight="1">
      <c r="A60" s="14" t="n">
        <v>45</v>
      </c>
      <c r="B60" s="8" t="inlineStr">
        <is>
          <t>Hammer and chisel</t>
        </is>
      </c>
      <c r="C60" s="9" t="n">
        <v>5</v>
      </c>
      <c r="D60" s="9" t="n">
        <v>0</v>
      </c>
      <c r="E60" s="9" t="n">
        <v>3</v>
      </c>
      <c r="F60" s="9">
        <f>IFERROR(MIN(C60,D60)*E60/C60,0)</f>
        <v/>
      </c>
      <c r="G60" s="9" t="n"/>
    </row>
    <row r="61" ht="14.15" customHeight="1">
      <c r="A61" s="14" t="n">
        <v>46</v>
      </c>
      <c r="B61" s="8" t="inlineStr">
        <is>
          <t>Measuring tape</t>
        </is>
      </c>
      <c r="C61" s="9" t="n">
        <v>5</v>
      </c>
      <c r="D61" s="9" t="n">
        <v>0</v>
      </c>
      <c r="E61" s="9" t="n">
        <v>3</v>
      </c>
      <c r="F61" s="9">
        <f>IFERROR(MIN(C61,D61)*E61/C61,0)</f>
        <v/>
      </c>
      <c r="G61" s="9" t="n"/>
    </row>
    <row r="62" ht="14.15" customHeight="1">
      <c r="A62" s="14" t="n">
        <v>47</v>
      </c>
      <c r="B62" s="8" t="inlineStr">
        <is>
          <t>Spirit level</t>
        </is>
      </c>
      <c r="C62" s="9" t="n">
        <v>5</v>
      </c>
      <c r="D62" s="9" t="n">
        <v>0</v>
      </c>
      <c r="E62" s="9" t="n">
        <v>3</v>
      </c>
      <c r="F62" s="9">
        <f>IFERROR(MIN(C62,D62)*E62/C62,0)</f>
        <v/>
      </c>
      <c r="G62" s="9" t="n"/>
    </row>
    <row r="63" ht="14.15" customHeight="1">
      <c r="A63" s="14" t="n">
        <v>48</v>
      </c>
      <c r="B63" s="8" t="inlineStr">
        <is>
          <t>Cable pulling tools</t>
        </is>
      </c>
      <c r="C63" s="9" t="n">
        <v>5</v>
      </c>
      <c r="D63" s="9" t="n">
        <v>0</v>
      </c>
      <c r="E63" s="9" t="n">
        <v>4</v>
      </c>
      <c r="F63" s="9">
        <f>IFERROR(MIN(C63,D63)*E63/C63,0)</f>
        <v/>
      </c>
      <c r="G63" s="9" t="n"/>
    </row>
    <row r="64" ht="14.15" customHeight="1">
      <c r="A64" s="14" t="n">
        <v>49</v>
      </c>
      <c r="B64" s="8" t="inlineStr">
        <is>
          <t>Ladder</t>
        </is>
      </c>
      <c r="C64" s="9" t="n">
        <v>2</v>
      </c>
      <c r="D64" s="9" t="n">
        <v>0</v>
      </c>
      <c r="E64" s="9" t="n">
        <v>4</v>
      </c>
      <c r="F64" s="9">
        <f>IFERROR(MIN(C64,D64)*E64/C64,0)</f>
        <v/>
      </c>
      <c r="G64" s="9" t="n"/>
    </row>
    <row r="65" ht="14.15" customHeight="1">
      <c r="A65" s="14" t="n">
        <v>50</v>
      </c>
      <c r="B65" s="8" t="inlineStr">
        <is>
          <t>Toolbox</t>
        </is>
      </c>
      <c r="C65" s="9" t="n">
        <v>5</v>
      </c>
      <c r="D65" s="9" t="n">
        <v>0</v>
      </c>
      <c r="E65" s="9" t="n">
        <v>3</v>
      </c>
      <c r="F65" s="9">
        <f>IFERROR(MIN(C65,D65)*E65/C65,0)</f>
        <v/>
      </c>
      <c r="G65" s="9" t="n"/>
    </row>
    <row r="66">
      <c r="A66" s="15" t="inlineStr">
        <is>
          <t>Sum</t>
        </is>
      </c>
      <c r="B66" s="11" t="n"/>
      <c r="C66" s="11" t="n"/>
      <c r="D66" s="12" t="n"/>
      <c r="E66" s="15">
        <f>SUM(E16:E65)</f>
        <v/>
      </c>
      <c r="F66" s="15">
        <f>SUM(F16:F65)</f>
        <v/>
      </c>
      <c r="G66" s="13" t="n"/>
    </row>
    <row r="67">
      <c r="A67" s="15" t="inlineStr">
        <is>
          <t>Score out of 100</t>
        </is>
      </c>
      <c r="B67" s="11" t="n"/>
      <c r="C67" s="11" t="n"/>
      <c r="D67" s="11" t="n"/>
      <c r="E67" s="12" t="n"/>
      <c r="F67" s="15">
        <f>F66/E66*100</f>
        <v/>
      </c>
      <c r="G67" s="13" t="n"/>
    </row>
    <row r="68" ht="9.75" customHeight="1"/>
    <row r="69">
      <c r="A69" s="15" t="inlineStr">
        <is>
          <t xml:space="preserve">Total achieved points out of 30  </t>
        </is>
      </c>
      <c r="B69" s="11" t="n"/>
      <c r="C69" s="11" t="n"/>
      <c r="D69" s="11" t="n"/>
      <c r="E69" s="12" t="n"/>
      <c r="F69" s="15">
        <f>F67*30/100</f>
        <v/>
      </c>
      <c r="G69" s="15" t="inlineStr">
        <is>
          <t>Points</t>
        </is>
      </c>
    </row>
  </sheetData>
  <mergeCells count="8">
    <mergeCell ref="A13:G13"/>
    <mergeCell ref="A69:E69"/>
    <mergeCell ref="C7:G7"/>
    <mergeCell ref="A68:G68"/>
    <mergeCell ref="A1:G1"/>
    <mergeCell ref="C8:G8"/>
    <mergeCell ref="A67:E67"/>
    <mergeCell ref="A66:D6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2026-09-23T10:54:59Z</dcterms:modified>
</cp:coreProperties>
</file>
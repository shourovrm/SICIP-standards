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 Design &amp; Layout" sheetId="1" state="visible" r:id="rId1"/>
    <sheet xmlns:r="http://schemas.openxmlformats.org/officeDocument/2006/relationships" name="Adv Physical Design RTL-GDSII" sheetId="2" state="visible" r:id="rId2"/>
    <sheet xmlns:r="http://schemas.openxmlformats.org/officeDocument/2006/relationships" name="DFT and Verification Eng" sheetId="3" state="visible" r:id="rId3"/>
    <sheet xmlns:r="http://schemas.openxmlformats.org/officeDocument/2006/relationships" name="Applied Semiconductor Power" sheetId="4" state="visible" r:id="rId4"/>
    <sheet xmlns:r="http://schemas.openxmlformats.org/officeDocument/2006/relationships" name="Smart Systems Engineering" sheetId="5" state="visible" r:id="rId5"/>
    <sheet xmlns:r="http://schemas.openxmlformats.org/officeDocument/2006/relationships" name="Semiconductor Testing Eng"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IC Design and Layout Engineering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IC Design and Layout Engineering</t>
        </is>
      </c>
      <c r="C8" s="4" t="inlineStr">
        <is>
          <t>Computer Lab (400 sft) and Workshop (700–800 sft) for 25 trainees</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IC Design and Layout Engineering,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Computer/Laptop (1 unit) — trainer station</t>
        </is>
      </c>
      <c r="C16" s="9" t="n">
        <v>1</v>
      </c>
      <c r="D16" s="9" t="n">
        <v>0</v>
      </c>
      <c r="E16" s="9" t="n">
        <v>8</v>
      </c>
      <c r="F16" s="9">
        <f>IFERROR(MIN(C16,D16)*E16/C16,0)</f>
        <v/>
      </c>
      <c r="G16" s="9" t="n"/>
    </row>
    <row r="17" ht="14.15" customHeight="1">
      <c r="A17" s="16" t="n">
        <v>2</v>
      </c>
      <c r="B17" s="8" t="inlineStr">
        <is>
          <t>Multimedia projector &amp; screen (1 unit)</t>
        </is>
      </c>
      <c r="C17" s="9" t="n">
        <v>1</v>
      </c>
      <c r="D17" s="9" t="n">
        <v>0</v>
      </c>
      <c r="E17" s="9" t="n">
        <v>7</v>
      </c>
      <c r="F17" s="9">
        <f>IFERROR(MIN(C17,D17)*E17/C17,0)</f>
        <v/>
      </c>
      <c r="G17" s="9" t="n"/>
    </row>
    <row r="18" ht="14.15" customHeight="1">
      <c r="A18" s="16" t="n">
        <v>3</v>
      </c>
      <c r="B18" s="8" t="inlineStr">
        <is>
          <t>Printer (1 unit)</t>
        </is>
      </c>
      <c r="C18" s="9" t="n">
        <v>1</v>
      </c>
      <c r="D18" s="9" t="n">
        <v>0</v>
      </c>
      <c r="E18" s="9" t="n">
        <v>6</v>
      </c>
      <c r="F18" s="9">
        <f>IFERROR(MIN(C18,D18)*E18/C18,0)</f>
        <v/>
      </c>
      <c r="G18" s="9" t="n"/>
    </row>
    <row r="19" ht="14.15" customHeight="1">
      <c r="A19" s="16" t="n">
        <v>4</v>
      </c>
      <c r="B19" s="8" t="inlineStr">
        <is>
          <t>High-performance Desktop/Laptop (25 units)</t>
        </is>
      </c>
      <c r="C19" s="9" t="n">
        <v>25</v>
      </c>
      <c r="D19" s="9" t="n">
        <v>0</v>
      </c>
      <c r="E19" s="9" t="n">
        <v>9</v>
      </c>
      <c r="F19" s="9">
        <f>IFERROR(MIN(C19,D19)*E19/C19,0)</f>
        <v/>
      </c>
      <c r="G19" s="9" t="n"/>
    </row>
    <row r="20" ht="14.15" customHeight="1">
      <c r="A20" s="16" t="n">
        <v>5</v>
      </c>
      <c r="B20" s="8" t="inlineStr">
        <is>
          <t>IC Design &amp; Layout EDA Software — Schematic, Layout, Simulation, DRC/LVS (25)</t>
        </is>
      </c>
      <c r="C20" s="9" t="n">
        <v>25</v>
      </c>
      <c r="D20" s="9" t="n">
        <v>0</v>
      </c>
      <c r="E20" s="9" t="n">
        <v>10</v>
      </c>
      <c r="F20" s="9">
        <f>IFERROR(MIN(C20,D20)*E20/C20,0)</f>
        <v/>
      </c>
      <c r="G20" s="9" t="n"/>
    </row>
    <row r="21" ht="14.15" customHeight="1">
      <c r="A21" s="16" t="n">
        <v>6</v>
      </c>
      <c r="B21" s="8" t="inlineStr">
        <is>
          <t>Linux Operating System (25)</t>
        </is>
      </c>
      <c r="C21" s="9" t="n">
        <v>25</v>
      </c>
      <c r="D21" s="9" t="n">
        <v>0</v>
      </c>
      <c r="E21" s="9" t="n">
        <v>7</v>
      </c>
      <c r="F21" s="9">
        <f>IFERROR(MIN(C21,D21)*E21/C21,0)</f>
        <v/>
      </c>
      <c r="G21" s="9" t="n"/>
    </row>
    <row r="22" ht="14.15" customHeight="1">
      <c r="A22" s="16" t="n">
        <v>7</v>
      </c>
      <c r="B22" s="8" t="inlineStr">
        <is>
          <t>Central EDA License Server (1 unit)</t>
        </is>
      </c>
      <c r="C22" s="9" t="n">
        <v>1</v>
      </c>
      <c r="D22" s="9" t="n">
        <v>0</v>
      </c>
      <c r="E22" s="9" t="n">
        <v>7</v>
      </c>
      <c r="F22" s="9">
        <f>IFERROR(MIN(C22,D22)*E22/C22,0)</f>
        <v/>
      </c>
      <c r="G22" s="9" t="n"/>
    </row>
    <row r="23" ht="14.15" customHeight="1">
      <c r="A23" s="16" t="n">
        <v>8</v>
      </c>
      <c r="B23" s="8" t="inlineStr">
        <is>
          <t>Central File/Storage Server (1 unit)</t>
        </is>
      </c>
      <c r="C23" s="9" t="n">
        <v>1</v>
      </c>
      <c r="D23" s="9" t="n">
        <v>0</v>
      </c>
      <c r="E23" s="9" t="n">
        <v>6</v>
      </c>
      <c r="F23" s="9">
        <f>IFERROR(MIN(C23,D23)*E23/C23,0)</f>
        <v/>
      </c>
      <c r="G23" s="9" t="n"/>
    </row>
    <row r="24" ht="14.15" customHeight="1">
      <c r="A24" s="16" t="n">
        <v>9</v>
      </c>
      <c r="B24" s="8" t="inlineStr">
        <is>
          <t>Gigabit Network Switch — 48-Port (1 unit)</t>
        </is>
      </c>
      <c r="C24" s="9" t="n">
        <v>1</v>
      </c>
      <c r="D24" s="9" t="n">
        <v>0</v>
      </c>
      <c r="E24" s="9" t="n">
        <v>6</v>
      </c>
      <c r="F24" s="9">
        <f>IFERROR(MIN(C24,D24)*E24/C24,0)</f>
        <v/>
      </c>
      <c r="G24" s="9" t="n"/>
    </row>
    <row r="25" ht="14.15" customHeight="1">
      <c r="A25" s="16" t="n">
        <v>10</v>
      </c>
      <c r="B25" s="8" t="inlineStr">
        <is>
          <t>Enterprise Router (1 unit)</t>
        </is>
      </c>
      <c r="C25" s="9" t="n">
        <v>1</v>
      </c>
      <c r="D25" s="9" t="n">
        <v>0</v>
      </c>
      <c r="E25" s="9" t="n">
        <v>6</v>
      </c>
      <c r="F25" s="9">
        <f>IFERROR(MIN(C25,D25)*E25/C25,0)</f>
        <v/>
      </c>
      <c r="G25" s="9" t="n"/>
    </row>
    <row r="26" ht="14.15" customHeight="1">
      <c r="A26" s="16" t="n">
        <v>11</v>
      </c>
      <c r="B26" s="8" t="inlineStr">
        <is>
          <t>Standard Cell &amp; PDK (Process Design Kit) Library (1)</t>
        </is>
      </c>
      <c r="C26" s="9" t="n">
        <v>1</v>
      </c>
      <c r="D26" s="9" t="n">
        <v>0</v>
      </c>
      <c r="E26" s="9" t="n">
        <v>8</v>
      </c>
      <c r="F26" s="9">
        <f>IFERROR(MIN(C26,D26)*E26/C26,0)</f>
        <v/>
      </c>
      <c r="G26" s="9" t="n"/>
    </row>
    <row r="27" ht="14.15" customHeight="1">
      <c r="A27" s="16" t="n">
        <v>12</v>
      </c>
      <c r="B27" s="8" t="inlineStr">
        <is>
          <t>SPICE Simulation Environment (25)</t>
        </is>
      </c>
      <c r="C27" s="9" t="n">
        <v>25</v>
      </c>
      <c r="D27" s="9" t="n">
        <v>0</v>
      </c>
      <c r="E27" s="9" t="n">
        <v>9</v>
      </c>
      <c r="F27" s="9">
        <f>IFERROR(MIN(C27,D27)*E27/C27,0)</f>
        <v/>
      </c>
      <c r="G27" s="9" t="n"/>
    </row>
    <row r="28" ht="14.15" customHeight="1">
      <c r="A28" s="16" t="n">
        <v>13</v>
      </c>
      <c r="B28" s="8" t="inlineStr">
        <is>
          <t>Schematic Capture Tool (25)</t>
        </is>
      </c>
      <c r="C28" s="9" t="n">
        <v>25</v>
      </c>
      <c r="D28" s="9" t="n">
        <v>0</v>
      </c>
      <c r="E28" s="9" t="n">
        <v>9</v>
      </c>
      <c r="F28" s="9">
        <f>IFERROR(MIN(C28,D28)*E28/C28,0)</f>
        <v/>
      </c>
      <c r="G28" s="9" t="n"/>
    </row>
    <row r="29" ht="14.15" customHeight="1">
      <c r="A29" s="16" t="n">
        <v>14</v>
      </c>
      <c r="B29" s="8" t="inlineStr">
        <is>
          <t>IC Layout Design Tool (25)</t>
        </is>
      </c>
      <c r="C29" s="9" t="n">
        <v>25</v>
      </c>
      <c r="D29" s="9" t="n">
        <v>0</v>
      </c>
      <c r="E29" s="9" t="n">
        <v>10</v>
      </c>
      <c r="F29" s="9">
        <f>IFERROR(MIN(C29,D29)*E29/C29,0)</f>
        <v/>
      </c>
      <c r="G29" s="9" t="n"/>
    </row>
    <row r="30" ht="14.15" customHeight="1">
      <c r="A30" s="16" t="n">
        <v>15</v>
      </c>
      <c r="B30" s="8" t="inlineStr">
        <is>
          <t>DRC/LVS Verification Tool (25)</t>
        </is>
      </c>
      <c r="C30" s="9" t="n">
        <v>25</v>
      </c>
      <c r="D30" s="9" t="n">
        <v>0</v>
      </c>
      <c r="E30" s="9" t="n">
        <v>9</v>
      </c>
      <c r="F30" s="9">
        <f>IFERROR(MIN(C30,D30)*E30/C30,0)</f>
        <v/>
      </c>
      <c r="G30" s="9" t="n"/>
    </row>
    <row r="31" ht="14.15" customHeight="1">
      <c r="A31" s="16" t="n">
        <v>16</v>
      </c>
      <c r="B31" s="8" t="inlineStr">
        <is>
          <t>Layout Parasitic Extraction (LPE) Tool (25)</t>
        </is>
      </c>
      <c r="C31" s="9" t="n">
        <v>25</v>
      </c>
      <c r="D31" s="9" t="n">
        <v>0</v>
      </c>
      <c r="E31" s="9" t="n">
        <v>8</v>
      </c>
      <c r="F31" s="9">
        <f>IFERROR(MIN(C31,D31)*E31/C31,0)</f>
        <v/>
      </c>
      <c r="G31" s="9" t="n"/>
    </row>
    <row r="32" ht="14.15" customHeight="1">
      <c r="A32" s="16" t="n">
        <v>17</v>
      </c>
      <c r="B32" s="8" t="inlineStr">
        <is>
          <t>Analog/Mixed-Signal Simulation Tool (25)</t>
        </is>
      </c>
      <c r="C32" s="9" t="n">
        <v>25</v>
      </c>
      <c r="D32" s="9" t="n">
        <v>0</v>
      </c>
      <c r="E32" s="9" t="n">
        <v>8</v>
      </c>
      <c r="F32" s="9">
        <f>IFERROR(MIN(C32,D32)*E32/C32,0)</f>
        <v/>
      </c>
      <c r="G32" s="9" t="n"/>
    </row>
    <row r="33" ht="14.15" customHeight="1">
      <c r="A33" s="16" t="n">
        <v>18</v>
      </c>
      <c r="B33" s="8" t="inlineStr">
        <is>
          <t>Waveform Viewer and Debug Tool (25)</t>
        </is>
      </c>
      <c r="C33" s="9" t="n">
        <v>25</v>
      </c>
      <c r="D33" s="9" t="n">
        <v>0</v>
      </c>
      <c r="E33" s="9" t="n">
        <v>7</v>
      </c>
      <c r="F33" s="9">
        <f>IFERROR(MIN(C33,D33)*E33/C33,0)</f>
        <v/>
      </c>
      <c r="G33" s="9" t="n"/>
    </row>
    <row r="34" ht="14.15" customHeight="1">
      <c r="A34" s="16" t="n">
        <v>19</v>
      </c>
      <c r="B34" s="8" t="inlineStr">
        <is>
          <t>Stationery (pens, pencils, paper, workbooks, flip charts)</t>
        </is>
      </c>
      <c r="C34" s="9" t="n">
        <v>1</v>
      </c>
      <c r="D34" s="9" t="n">
        <v>0</v>
      </c>
      <c r="E34" s="9" t="n">
        <v>3</v>
      </c>
      <c r="F34" s="9">
        <f>IFERROR(MIN(C34,D34)*E34/C34,0)</f>
        <v/>
      </c>
      <c r="G34" s="9" t="n"/>
    </row>
    <row r="35">
      <c r="A35" s="17" t="inlineStr">
        <is>
          <t>Sum</t>
        </is>
      </c>
      <c r="B35" s="11" t="n"/>
      <c r="C35" s="11" t="n"/>
      <c r="D35" s="12" t="n"/>
      <c r="E35" s="17">
        <f>SUM(E16:E34)</f>
        <v/>
      </c>
      <c r="F35" s="17">
        <f>SUM(F16:F34)</f>
        <v/>
      </c>
      <c r="G35" s="13" t="n"/>
    </row>
    <row r="36">
      <c r="A36" s="17" t="inlineStr">
        <is>
          <t>Score out of 100</t>
        </is>
      </c>
      <c r="B36" s="11" t="n"/>
      <c r="C36" s="11" t="n"/>
      <c r="D36" s="11" t="n"/>
      <c r="E36" s="12" t="n"/>
      <c r="F36" s="17">
        <f>F35/E35*100</f>
        <v/>
      </c>
      <c r="G36" s="13" t="n"/>
    </row>
    <row r="37" ht="9.75" customHeight="1"/>
    <row r="38">
      <c r="A38" s="17" t="inlineStr">
        <is>
          <t xml:space="preserve">Total achieved points out of 30  </t>
        </is>
      </c>
      <c r="B38" s="11" t="n"/>
      <c r="C38" s="11" t="n"/>
      <c r="D38" s="11" t="n"/>
      <c r="E38" s="12" t="n"/>
      <c r="F38" s="17">
        <f>F36*30/100</f>
        <v/>
      </c>
      <c r="G38" s="17"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Physical Design Program: RTL to GDSII</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Physical Design Program: RTL to GDSII</t>
        </is>
      </c>
      <c r="C8" s="4" t="inlineStr">
        <is>
          <t>Computer Lab (400 sft) and Workshop (700–800 sft) for 25 trainees</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Physical Design Program: RTL to GDSII,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Computer/Laptop (1 unit) — trainer station</t>
        </is>
      </c>
      <c r="C16" s="9" t="n">
        <v>1</v>
      </c>
      <c r="D16" s="9" t="n">
        <v>0</v>
      </c>
      <c r="E16" s="9" t="n">
        <v>8</v>
      </c>
      <c r="F16" s="9">
        <f>IFERROR(MIN(C16,D16)*E16/C16,0)</f>
        <v/>
      </c>
      <c r="G16" s="9" t="n"/>
    </row>
    <row r="17" ht="14.15" customHeight="1">
      <c r="A17" s="16" t="n">
        <v>2</v>
      </c>
      <c r="B17" s="8" t="inlineStr">
        <is>
          <t>Multimedia projector &amp; screen (1 unit)</t>
        </is>
      </c>
      <c r="C17" s="9" t="n">
        <v>1</v>
      </c>
      <c r="D17" s="9" t="n">
        <v>0</v>
      </c>
      <c r="E17" s="9" t="n">
        <v>7</v>
      </c>
      <c r="F17" s="9">
        <f>IFERROR(MIN(C17,D17)*E17/C17,0)</f>
        <v/>
      </c>
      <c r="G17" s="9" t="n"/>
    </row>
    <row r="18" ht="14.15" customHeight="1">
      <c r="A18" s="16" t="n">
        <v>3</v>
      </c>
      <c r="B18" s="8" t="inlineStr">
        <is>
          <t>Printer (1 unit)</t>
        </is>
      </c>
      <c r="C18" s="9" t="n">
        <v>1</v>
      </c>
      <c r="D18" s="9" t="n">
        <v>0</v>
      </c>
      <c r="E18" s="9" t="n">
        <v>6</v>
      </c>
      <c r="F18" s="9">
        <f>IFERROR(MIN(C18,D18)*E18/C18,0)</f>
        <v/>
      </c>
      <c r="G18" s="9" t="n"/>
    </row>
    <row r="19" ht="14.15" customHeight="1">
      <c r="A19" s="16" t="n">
        <v>4</v>
      </c>
      <c r="B19" s="8" t="inlineStr">
        <is>
          <t>High-performance Desktop/Laptop (25 units)</t>
        </is>
      </c>
      <c r="C19" s="9" t="n">
        <v>25</v>
      </c>
      <c r="D19" s="9" t="n">
        <v>0</v>
      </c>
      <c r="E19" s="9" t="n">
        <v>9</v>
      </c>
      <c r="F19" s="9">
        <f>IFERROR(MIN(C19,D19)*E19/C19,0)</f>
        <v/>
      </c>
      <c r="G19" s="9" t="n"/>
    </row>
    <row r="20" ht="14.15" customHeight="1">
      <c r="A20" s="16" t="n">
        <v>5</v>
      </c>
      <c r="B20" s="8" t="inlineStr">
        <is>
          <t>EDA Software Licenses — Floating/User (25)</t>
        </is>
      </c>
      <c r="C20" s="9" t="n">
        <v>25</v>
      </c>
      <c r="D20" s="9" t="n">
        <v>0</v>
      </c>
      <c r="E20" s="9" t="n">
        <v>10</v>
      </c>
      <c r="F20" s="9">
        <f>IFERROR(MIN(C20,D20)*E20/C20,0)</f>
        <v/>
      </c>
      <c r="G20" s="9" t="n"/>
    </row>
    <row r="21" ht="14.15" customHeight="1">
      <c r="A21" s="16" t="n">
        <v>6</v>
      </c>
      <c r="B21" s="8" t="inlineStr">
        <is>
          <t>Linux Operating System (25)</t>
        </is>
      </c>
      <c r="C21" s="9" t="n">
        <v>25</v>
      </c>
      <c r="D21" s="9" t="n">
        <v>0</v>
      </c>
      <c r="E21" s="9" t="n">
        <v>7</v>
      </c>
      <c r="F21" s="9">
        <f>IFERROR(MIN(C21,D21)*E21/C21,0)</f>
        <v/>
      </c>
      <c r="G21" s="9" t="n"/>
    </row>
    <row r="22" ht="14.15" customHeight="1">
      <c r="A22" s="16" t="n">
        <v>7</v>
      </c>
      <c r="B22" s="8" t="inlineStr">
        <is>
          <t>Central EDA License Server (1 unit)</t>
        </is>
      </c>
      <c r="C22" s="9" t="n">
        <v>1</v>
      </c>
      <c r="D22" s="9" t="n">
        <v>0</v>
      </c>
      <c r="E22" s="9" t="n">
        <v>7</v>
      </c>
      <c r="F22" s="9">
        <f>IFERROR(MIN(C22,D22)*E22/C22,0)</f>
        <v/>
      </c>
      <c r="G22" s="9" t="n"/>
    </row>
    <row r="23" ht="14.15" customHeight="1">
      <c r="A23" s="16" t="n">
        <v>8</v>
      </c>
      <c r="B23" s="8" t="inlineStr">
        <is>
          <t>Central File/Storage Server — NAS/Server (1 unit)</t>
        </is>
      </c>
      <c r="C23" s="9" t="n">
        <v>1</v>
      </c>
      <c r="D23" s="9" t="n">
        <v>0</v>
      </c>
      <c r="E23" s="9" t="n">
        <v>6</v>
      </c>
      <c r="F23" s="9">
        <f>IFERROR(MIN(C23,D23)*E23/C23,0)</f>
        <v/>
      </c>
      <c r="G23" s="9" t="n"/>
    </row>
    <row r="24" ht="14.15" customHeight="1">
      <c r="A24" s="16" t="n">
        <v>9</v>
      </c>
      <c r="B24" s="8" t="inlineStr">
        <is>
          <t>Gigabit Network Switch — 48-Port (1 unit)</t>
        </is>
      </c>
      <c r="C24" s="9" t="n">
        <v>1</v>
      </c>
      <c r="D24" s="9" t="n">
        <v>0</v>
      </c>
      <c r="E24" s="9" t="n">
        <v>6</v>
      </c>
      <c r="F24" s="9">
        <f>IFERROR(MIN(C24,D24)*E24/C24,0)</f>
        <v/>
      </c>
      <c r="G24" s="9" t="n"/>
    </row>
    <row r="25" ht="14.15" customHeight="1">
      <c r="A25" s="16" t="n">
        <v>10</v>
      </c>
      <c r="B25" s="8" t="inlineStr">
        <is>
          <t>Enterprise Router (1 unit)</t>
        </is>
      </c>
      <c r="C25" s="9" t="n">
        <v>1</v>
      </c>
      <c r="D25" s="9" t="n">
        <v>0</v>
      </c>
      <c r="E25" s="9" t="n">
        <v>6</v>
      </c>
      <c r="F25" s="9">
        <f>IFERROR(MIN(C25,D25)*E25/C25,0)</f>
        <v/>
      </c>
      <c r="G25" s="9" t="n"/>
    </row>
    <row r="26" ht="14.15" customHeight="1">
      <c r="A26" s="16" t="n">
        <v>11</v>
      </c>
      <c r="B26" s="8" t="inlineStr">
        <is>
          <t>RTL Simulation Environment (2)</t>
        </is>
      </c>
      <c r="C26" s="9" t="n">
        <v>2</v>
      </c>
      <c r="D26" s="9" t="n">
        <v>0</v>
      </c>
      <c r="E26" s="9" t="n">
        <v>9</v>
      </c>
      <c r="F26" s="9">
        <f>IFERROR(MIN(C26,D26)*E26/C26,0)</f>
        <v/>
      </c>
      <c r="G26" s="9" t="n"/>
    </row>
    <row r="27" ht="14.15" customHeight="1">
      <c r="A27" s="16" t="n">
        <v>12</v>
      </c>
      <c r="B27" s="8" t="inlineStr">
        <is>
          <t>Static Timing Analysis (STA) Tool (25)</t>
        </is>
      </c>
      <c r="C27" s="9" t="n">
        <v>25</v>
      </c>
      <c r="D27" s="9" t="n">
        <v>0</v>
      </c>
      <c r="E27" s="9" t="n">
        <v>9</v>
      </c>
      <c r="F27" s="9">
        <f>IFERROR(MIN(C27,D27)*E27/C27,0)</f>
        <v/>
      </c>
      <c r="G27" s="9" t="n"/>
    </row>
    <row r="28" ht="14.15" customHeight="1">
      <c r="A28" s="16" t="n">
        <v>13</v>
      </c>
      <c r="B28" s="8" t="inlineStr">
        <is>
          <t>Physical Design Tool (25)</t>
        </is>
      </c>
      <c r="C28" s="9" t="n">
        <v>25</v>
      </c>
      <c r="D28" s="9" t="n">
        <v>0</v>
      </c>
      <c r="E28" s="9" t="n">
        <v>10</v>
      </c>
      <c r="F28" s="9">
        <f>IFERROR(MIN(C28,D28)*E28/C28,0)</f>
        <v/>
      </c>
      <c r="G28" s="9" t="n"/>
    </row>
    <row r="29" ht="14.15" customHeight="1">
      <c r="A29" s="16" t="n">
        <v>14</v>
      </c>
      <c r="B29" s="8" t="inlineStr">
        <is>
          <t>Physical Verification (DRC/LVS) Tool (25)</t>
        </is>
      </c>
      <c r="C29" s="9" t="n">
        <v>25</v>
      </c>
      <c r="D29" s="9" t="n">
        <v>0</v>
      </c>
      <c r="E29" s="9" t="n">
        <v>9</v>
      </c>
      <c r="F29" s="9">
        <f>IFERROR(MIN(C29,D29)*E29/C29,0)</f>
        <v/>
      </c>
      <c r="G29" s="9" t="n"/>
    </row>
    <row r="30" ht="14.15" customHeight="1">
      <c r="A30" s="16" t="n">
        <v>15</v>
      </c>
      <c r="B30" s="8" t="inlineStr">
        <is>
          <t>Power &amp; Signal Integrity Analysis Tool (25)</t>
        </is>
      </c>
      <c r="C30" s="9" t="n">
        <v>25</v>
      </c>
      <c r="D30" s="9" t="n">
        <v>0</v>
      </c>
      <c r="E30" s="9" t="n">
        <v>8</v>
      </c>
      <c r="F30" s="9">
        <f>IFERROR(MIN(C30,D30)*E30/C30,0)</f>
        <v/>
      </c>
      <c r="G30" s="9" t="n"/>
    </row>
    <row r="31" ht="14.15" customHeight="1">
      <c r="A31" s="16" t="n">
        <v>16</v>
      </c>
      <c r="B31" s="8" t="inlineStr">
        <is>
          <t>Formal Verification Tool (25)</t>
        </is>
      </c>
      <c r="C31" s="9" t="n">
        <v>25</v>
      </c>
      <c r="D31" s="9" t="n">
        <v>0</v>
      </c>
      <c r="E31" s="9" t="n">
        <v>8</v>
      </c>
      <c r="F31" s="9">
        <f>IFERROR(MIN(C31,D31)*E31/C31,0)</f>
        <v/>
      </c>
      <c r="G31" s="9" t="n"/>
    </row>
    <row r="32" ht="14.15" customHeight="1">
      <c r="A32" s="16" t="n">
        <v>17</v>
      </c>
      <c r="B32" s="8" t="inlineStr">
        <is>
          <t>Version Control Server — Git (1 unit)</t>
        </is>
      </c>
      <c r="C32" s="9" t="n">
        <v>1</v>
      </c>
      <c r="D32" s="9" t="n">
        <v>0</v>
      </c>
      <c r="E32" s="9" t="n">
        <v>6</v>
      </c>
      <c r="F32" s="9">
        <f>IFERROR(MIN(C32,D32)*E32/C32,0)</f>
        <v/>
      </c>
      <c r="G32" s="9" t="n"/>
    </row>
    <row r="33" ht="14.15" customHeight="1">
      <c r="A33" s="16" t="n">
        <v>18</v>
      </c>
      <c r="B33" s="8" t="inlineStr">
        <is>
          <t>Laser Pointer (1 unit)</t>
        </is>
      </c>
      <c r="C33" s="9" t="n">
        <v>1</v>
      </c>
      <c r="D33" s="9" t="n">
        <v>0</v>
      </c>
      <c r="E33" s="9" t="n">
        <v>3</v>
      </c>
      <c r="F33" s="9">
        <f>IFERROR(MIN(C33,D33)*E33/C33,0)</f>
        <v/>
      </c>
      <c r="G33" s="9" t="n"/>
    </row>
    <row r="34" ht="14.15" customHeight="1">
      <c r="A34" s="16" t="n">
        <v>19</v>
      </c>
      <c r="B34" s="8" t="inlineStr">
        <is>
          <t>Stationery (pens, pencils, paper, workbooks, flip charts)</t>
        </is>
      </c>
      <c r="C34" s="9" t="n">
        <v>1</v>
      </c>
      <c r="D34" s="9" t="n">
        <v>0</v>
      </c>
      <c r="E34" s="9" t="n">
        <v>3</v>
      </c>
      <c r="F34" s="9">
        <f>IFERROR(MIN(C34,D34)*E34/C34,0)</f>
        <v/>
      </c>
      <c r="G34" s="9" t="n"/>
    </row>
    <row r="35">
      <c r="A35" s="17" t="inlineStr">
        <is>
          <t>Sum</t>
        </is>
      </c>
      <c r="B35" s="11" t="n"/>
      <c r="C35" s="11" t="n"/>
      <c r="D35" s="12" t="n"/>
      <c r="E35" s="17">
        <f>SUM(E16:E34)</f>
        <v/>
      </c>
      <c r="F35" s="17">
        <f>SUM(F16:F34)</f>
        <v/>
      </c>
      <c r="G35" s="13" t="n"/>
    </row>
    <row r="36">
      <c r="A36" s="17" t="inlineStr">
        <is>
          <t>Score out of 100</t>
        </is>
      </c>
      <c r="B36" s="11" t="n"/>
      <c r="C36" s="11" t="n"/>
      <c r="D36" s="11" t="n"/>
      <c r="E36" s="12" t="n"/>
      <c r="F36" s="17">
        <f>F35/E35*100</f>
        <v/>
      </c>
      <c r="G36" s="13" t="n"/>
    </row>
    <row r="37" ht="9.75" customHeight="1"/>
    <row r="38">
      <c r="A38" s="17" t="inlineStr">
        <is>
          <t xml:space="preserve">Total achieved points out of 30  </t>
        </is>
      </c>
      <c r="B38" s="11" t="n"/>
      <c r="C38" s="11" t="n"/>
      <c r="D38" s="11" t="n"/>
      <c r="E38" s="12" t="n"/>
      <c r="F38" s="17">
        <f>F36*30/100</f>
        <v/>
      </c>
      <c r="G38" s="17"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DFT and Verification Engineering Program for ASIC Designers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DFT and Verification Engineering Program for ASIC Designers</t>
        </is>
      </c>
      <c r="C8" s="4" t="inlineStr">
        <is>
          <t>Computer Lab (400 sft) and Workshop (700–800 sft) for 25 trainees; stationery</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DFT and Verification Engineering Program for ASIC Designers,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Computer/Laptop (1 unit) — trainer station</t>
        </is>
      </c>
      <c r="C16" s="9" t="n">
        <v>1</v>
      </c>
      <c r="D16" s="9" t="n">
        <v>0</v>
      </c>
      <c r="E16" s="9" t="n">
        <v>8</v>
      </c>
      <c r="F16" s="9">
        <f>IFERROR(MIN(C16,D16)*E16/C16,0)</f>
        <v/>
      </c>
      <c r="G16" s="9" t="n"/>
    </row>
    <row r="17" ht="14.15" customHeight="1">
      <c r="A17" s="16" t="n">
        <v>2</v>
      </c>
      <c r="B17" s="8" t="inlineStr">
        <is>
          <t>Multimedia projector &amp; screen (1 unit)</t>
        </is>
      </c>
      <c r="C17" s="9" t="n">
        <v>1</v>
      </c>
      <c r="D17" s="9" t="n">
        <v>0</v>
      </c>
      <c r="E17" s="9" t="n">
        <v>7</v>
      </c>
      <c r="F17" s="9">
        <f>IFERROR(MIN(C17,D17)*E17/C17,0)</f>
        <v/>
      </c>
      <c r="G17" s="9" t="n"/>
    </row>
    <row r="18" ht="14.15" customHeight="1">
      <c r="A18" s="16" t="n">
        <v>3</v>
      </c>
      <c r="B18" s="8" t="inlineStr">
        <is>
          <t>Printer (1 unit)</t>
        </is>
      </c>
      <c r="C18" s="9" t="n">
        <v>1</v>
      </c>
      <c r="D18" s="9" t="n">
        <v>0</v>
      </c>
      <c r="E18" s="9" t="n">
        <v>6</v>
      </c>
      <c r="F18" s="9">
        <f>IFERROR(MIN(C18,D18)*E18/C18,0)</f>
        <v/>
      </c>
      <c r="G18" s="9" t="n"/>
    </row>
    <row r="19" ht="14.15" customHeight="1">
      <c r="A19" s="16" t="n">
        <v>4</v>
      </c>
      <c r="B19" s="8" t="inlineStr">
        <is>
          <t>High-performance Desktop/Laptop (25 units)</t>
        </is>
      </c>
      <c r="C19" s="9" t="n">
        <v>25</v>
      </c>
      <c r="D19" s="9" t="n">
        <v>0</v>
      </c>
      <c r="E19" s="9" t="n">
        <v>9</v>
      </c>
      <c r="F19" s="9">
        <f>IFERROR(MIN(C19,D19)*E19/C19,0)</f>
        <v/>
      </c>
      <c r="G19" s="9" t="n"/>
    </row>
    <row r="20" ht="14.15" customHeight="1">
      <c r="A20" s="16" t="n">
        <v>5</v>
      </c>
      <c r="B20" s="8" t="inlineStr">
        <is>
          <t>Linux Operating System — Ubuntu/RHEL/Rocky Linux (25)</t>
        </is>
      </c>
      <c r="C20" s="9" t="n">
        <v>25</v>
      </c>
      <c r="D20" s="9" t="n">
        <v>0</v>
      </c>
      <c r="E20" s="9" t="n">
        <v>7</v>
      </c>
      <c r="F20" s="9">
        <f>IFERROR(MIN(C20,D20)*E20/C20,0)</f>
        <v/>
      </c>
      <c r="G20" s="9" t="n"/>
    </row>
    <row r="21" ht="14.15" customHeight="1">
      <c r="A21" s="16" t="n">
        <v>6</v>
      </c>
      <c r="B21" s="8" t="inlineStr">
        <is>
          <t>ASIC Verification &amp; DFT EDA Software Suite (25)</t>
        </is>
      </c>
      <c r="C21" s="9" t="n">
        <v>25</v>
      </c>
      <c r="D21" s="9" t="n">
        <v>0</v>
      </c>
      <c r="E21" s="9" t="n">
        <v>10</v>
      </c>
      <c r="F21" s="9">
        <f>IFERROR(MIN(C21,D21)*E21/C21,0)</f>
        <v/>
      </c>
      <c r="G21" s="9" t="n"/>
    </row>
    <row r="22" ht="14.15" customHeight="1">
      <c r="A22" s="16" t="n">
        <v>7</v>
      </c>
      <c r="B22" s="8" t="inlineStr">
        <is>
          <t>Verilog/SystemVerilog Simulation Tool (25)</t>
        </is>
      </c>
      <c r="C22" s="9" t="n">
        <v>25</v>
      </c>
      <c r="D22" s="9" t="n">
        <v>0</v>
      </c>
      <c r="E22" s="9" t="n">
        <v>9</v>
      </c>
      <c r="F22" s="9">
        <f>IFERROR(MIN(C22,D22)*E22/C22,0)</f>
        <v/>
      </c>
      <c r="G22" s="9" t="n"/>
    </row>
    <row r="23" ht="14.15" customHeight="1">
      <c r="A23" s="16" t="n">
        <v>8</v>
      </c>
      <c r="B23" s="8" t="inlineStr">
        <is>
          <t>UVM Verification Environment (25)</t>
        </is>
      </c>
      <c r="C23" s="9" t="n">
        <v>25</v>
      </c>
      <c r="D23" s="9" t="n">
        <v>0</v>
      </c>
      <c r="E23" s="9" t="n">
        <v>9</v>
      </c>
      <c r="F23" s="9">
        <f>IFERROR(MIN(C23,D23)*E23/C23,0)</f>
        <v/>
      </c>
      <c r="G23" s="9" t="n"/>
    </row>
    <row r="24" ht="14.15" customHeight="1">
      <c r="A24" s="16" t="n">
        <v>9</v>
      </c>
      <c r="B24" s="8" t="inlineStr">
        <is>
          <t>CDC/RDC Verification Tool (25)</t>
        </is>
      </c>
      <c r="C24" s="9" t="n">
        <v>25</v>
      </c>
      <c r="D24" s="9" t="n">
        <v>0</v>
      </c>
      <c r="E24" s="9" t="n">
        <v>8</v>
      </c>
      <c r="F24" s="9">
        <f>IFERROR(MIN(C24,D24)*E24/C24,0)</f>
        <v/>
      </c>
      <c r="G24" s="9" t="n"/>
    </row>
    <row r="25" ht="14.15" customHeight="1">
      <c r="A25" s="16" t="n">
        <v>10</v>
      </c>
      <c r="B25" s="8" t="inlineStr">
        <is>
          <t>Formal Verification &amp; Equivalence Checking Tool (25)</t>
        </is>
      </c>
      <c r="C25" s="9" t="n">
        <v>25</v>
      </c>
      <c r="D25" s="9" t="n">
        <v>0</v>
      </c>
      <c r="E25" s="9" t="n">
        <v>8</v>
      </c>
      <c r="F25" s="9">
        <f>IFERROR(MIN(C25,D25)*E25/C25,0)</f>
        <v/>
      </c>
      <c r="G25" s="9" t="n"/>
    </row>
    <row r="26" ht="14.15" customHeight="1">
      <c r="A26" s="16" t="n">
        <v>11</v>
      </c>
      <c r="B26" s="8" t="inlineStr">
        <is>
          <t>DFT Scan Insertion Tool (25)</t>
        </is>
      </c>
      <c r="C26" s="9" t="n">
        <v>25</v>
      </c>
      <c r="D26" s="9" t="n">
        <v>0</v>
      </c>
      <c r="E26" s="9" t="n">
        <v>9</v>
      </c>
      <c r="F26" s="9">
        <f>IFERROR(MIN(C26,D26)*E26/C26,0)</f>
        <v/>
      </c>
      <c r="G26" s="9" t="n"/>
    </row>
    <row r="27" ht="14.15" customHeight="1">
      <c r="A27" s="16" t="n">
        <v>12</v>
      </c>
      <c r="B27" s="8" t="inlineStr">
        <is>
          <t>ATPG and Fault Simulation Tool (25)</t>
        </is>
      </c>
      <c r="C27" s="9" t="n">
        <v>25</v>
      </c>
      <c r="D27" s="9" t="n">
        <v>0</v>
      </c>
      <c r="E27" s="9" t="n">
        <v>9</v>
      </c>
      <c r="F27" s="9">
        <f>IFERROR(MIN(C27,D27)*E27/C27,0)</f>
        <v/>
      </c>
      <c r="G27" s="9" t="n"/>
    </row>
    <row r="28" ht="14.15" customHeight="1">
      <c r="A28" s="16" t="n">
        <v>13</v>
      </c>
      <c r="B28" s="8" t="inlineStr">
        <is>
          <t>Waveform Debug and Analysis Tool (25)</t>
        </is>
      </c>
      <c r="C28" s="9" t="n">
        <v>25</v>
      </c>
      <c r="D28" s="9" t="n">
        <v>0</v>
      </c>
      <c r="E28" s="9" t="n">
        <v>7</v>
      </c>
      <c r="F28" s="9">
        <f>IFERROR(MIN(C28,D28)*E28/C28,0)</f>
        <v/>
      </c>
      <c r="G28" s="9" t="n"/>
    </row>
    <row r="29" ht="14.15" customHeight="1">
      <c r="A29" s="16" t="n">
        <v>14</v>
      </c>
      <c r="B29" s="8" t="inlineStr">
        <is>
          <t>Standard Cell Libraries and Verification IP (VIP) Repository (1)</t>
        </is>
      </c>
      <c r="C29" s="9" t="n">
        <v>1</v>
      </c>
      <c r="D29" s="9" t="n">
        <v>0</v>
      </c>
      <c r="E29" s="9" t="n">
        <v>7</v>
      </c>
      <c r="F29" s="9">
        <f>IFERROR(MIN(C29,D29)*E29/C29,0)</f>
        <v/>
      </c>
      <c r="G29" s="9" t="n"/>
    </row>
    <row r="30" ht="14.15" customHeight="1">
      <c r="A30" s="16" t="n">
        <v>15</v>
      </c>
      <c r="B30" s="8" t="inlineStr">
        <is>
          <t>Central EDA license and file/storage infrastructure</t>
        </is>
      </c>
      <c r="C30" s="9" t="n">
        <v>1</v>
      </c>
      <c r="D30" s="9" t="n">
        <v>0</v>
      </c>
      <c r="E30" s="9" t="n">
        <v>6</v>
      </c>
      <c r="F30" s="9">
        <f>IFERROR(MIN(C30,D30)*E30/C30,0)</f>
        <v/>
      </c>
      <c r="G30" s="9" t="n"/>
    </row>
    <row r="31" ht="14.15" customHeight="1">
      <c r="A31" s="16" t="n">
        <v>16</v>
      </c>
      <c r="B31" s="8" t="inlineStr">
        <is>
          <t>Gigabit Network Switch — 48-Port (1 unit)</t>
        </is>
      </c>
      <c r="C31" s="9" t="n">
        <v>1</v>
      </c>
      <c r="D31" s="9" t="n">
        <v>0</v>
      </c>
      <c r="E31" s="9" t="n">
        <v>6</v>
      </c>
      <c r="F31" s="9">
        <f>IFERROR(MIN(C31,D31)*E31/C31,0)</f>
        <v/>
      </c>
      <c r="G31" s="9" t="n"/>
    </row>
    <row r="32" ht="14.15" customHeight="1">
      <c r="A32" s="16" t="n">
        <v>17</v>
      </c>
      <c r="B32" s="8" t="inlineStr">
        <is>
          <t>Enterprise Router (1 unit)</t>
        </is>
      </c>
      <c r="C32" s="9" t="n">
        <v>1</v>
      </c>
      <c r="D32" s="9" t="n">
        <v>0</v>
      </c>
      <c r="E32" s="9" t="n">
        <v>6</v>
      </c>
      <c r="F32" s="9">
        <f>IFERROR(MIN(C32,D32)*E32/C32,0)</f>
        <v/>
      </c>
      <c r="G32" s="9" t="n"/>
    </row>
    <row r="33" ht="14.15" customHeight="1">
      <c r="A33" s="16" t="n">
        <v>18</v>
      </c>
      <c r="B33" s="8" t="inlineStr">
        <is>
          <t>Network Laser Printer (1 unit)</t>
        </is>
      </c>
      <c r="C33" s="9" t="n">
        <v>1</v>
      </c>
      <c r="D33" s="9" t="n">
        <v>0</v>
      </c>
      <c r="E33" s="9" t="n">
        <v>4</v>
      </c>
      <c r="F33" s="9">
        <f>IFERROR(MIN(C33,D33)*E33/C33,0)</f>
        <v/>
      </c>
      <c r="G33" s="9" t="n"/>
    </row>
    <row r="34" ht="14.15" customHeight="1">
      <c r="A34" s="16" t="n">
        <v>19</v>
      </c>
      <c r="B34" s="8" t="inlineStr">
        <is>
          <t>Laser Pointer (1 unit)</t>
        </is>
      </c>
      <c r="C34" s="9" t="n">
        <v>1</v>
      </c>
      <c r="D34" s="9" t="n">
        <v>0</v>
      </c>
      <c r="E34" s="9" t="n">
        <v>3</v>
      </c>
      <c r="F34" s="9">
        <f>IFERROR(MIN(C34,D34)*E34/C34,0)</f>
        <v/>
      </c>
      <c r="G34" s="9" t="n"/>
    </row>
    <row r="35">
      <c r="A35" s="17" t="inlineStr">
        <is>
          <t>Sum</t>
        </is>
      </c>
      <c r="B35" s="11" t="n"/>
      <c r="C35" s="11" t="n"/>
      <c r="D35" s="12" t="n"/>
      <c r="E35" s="17">
        <f>SUM(E16:E34)</f>
        <v/>
      </c>
      <c r="F35" s="17">
        <f>SUM(F16:F34)</f>
        <v/>
      </c>
      <c r="G35" s="13" t="n"/>
    </row>
    <row r="36">
      <c r="A36" s="17" t="inlineStr">
        <is>
          <t>Score out of 100</t>
        </is>
      </c>
      <c r="B36" s="11" t="n"/>
      <c r="C36" s="11" t="n"/>
      <c r="D36" s="11" t="n"/>
      <c r="E36" s="12" t="n"/>
      <c r="F36" s="17">
        <f>F35/E35*100</f>
        <v/>
      </c>
      <c r="G36" s="13" t="n"/>
    </row>
    <row r="37" ht="9.75" customHeight="1"/>
    <row r="38">
      <c r="A38" s="17" t="inlineStr">
        <is>
          <t xml:space="preserve">Total achieved points out of 30  </t>
        </is>
      </c>
      <c r="B38" s="11" t="n"/>
      <c r="C38" s="11" t="n"/>
      <c r="D38" s="11" t="n"/>
      <c r="E38" s="12" t="n"/>
      <c r="F38" s="17">
        <f>F36*30/100</f>
        <v/>
      </c>
      <c r="G38" s="17"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Applied Semiconductor Systems: Power Devices and Industrial Integration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Applied Semiconductor Systems: Power Devices and Industrial Integration</t>
        </is>
      </c>
      <c r="C8" s="4" t="inlineStr">
        <is>
          <t>Power electronics lab (approx. for 25 trainees) with benches, storage and stationery</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Applied Semiconductor Systems: Power Devices and Industrial Integration,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Computer/Laptop (1 unit) — trainer station</t>
        </is>
      </c>
      <c r="C16" s="9" t="n">
        <v>1</v>
      </c>
      <c r="D16" s="9" t="n">
        <v>0</v>
      </c>
      <c r="E16" s="9" t="n">
        <v>6</v>
      </c>
      <c r="F16" s="9">
        <f>IFERROR(MIN(C16,D16)*E16/C16,0)</f>
        <v/>
      </c>
      <c r="G16" s="9" t="n"/>
    </row>
    <row r="17" ht="14.15" customHeight="1">
      <c r="A17" s="16" t="n">
        <v>2</v>
      </c>
      <c r="B17" s="8" t="inlineStr">
        <is>
          <t>Multimedia projector &amp; screen (1 unit)</t>
        </is>
      </c>
      <c r="C17" s="9" t="n">
        <v>1</v>
      </c>
      <c r="D17" s="9" t="n">
        <v>0</v>
      </c>
      <c r="E17" s="9" t="n">
        <v>6</v>
      </c>
      <c r="F17" s="9">
        <f>IFERROR(MIN(C17,D17)*E17/C17,0)</f>
        <v/>
      </c>
      <c r="G17" s="9" t="n"/>
    </row>
    <row r="18" ht="14.15" customHeight="1">
      <c r="A18" s="16" t="n">
        <v>3</v>
      </c>
      <c r="B18" s="8" t="inlineStr">
        <is>
          <t>Printer (1 unit)</t>
        </is>
      </c>
      <c r="C18" s="9" t="n">
        <v>1</v>
      </c>
      <c r="D18" s="9" t="n">
        <v>0</v>
      </c>
      <c r="E18" s="9" t="n">
        <v>4</v>
      </c>
      <c r="F18" s="9">
        <f>IFERROR(MIN(C18,D18)*E18/C18,0)</f>
        <v/>
      </c>
      <c r="G18" s="9" t="n"/>
    </row>
    <row r="19" ht="14.15" customHeight="1">
      <c r="A19" s="16" t="n">
        <v>4</v>
      </c>
      <c r="B19" s="8" t="inlineStr">
        <is>
          <t>Desktop/Laptop workstations (25 units) with internet access</t>
        </is>
      </c>
      <c r="C19" s="9" t="n">
        <v>25</v>
      </c>
      <c r="D19" s="9" t="n">
        <v>0</v>
      </c>
      <c r="E19" s="9" t="n">
        <v>7</v>
      </c>
      <c r="F19" s="9">
        <f>IFERROR(MIN(C19,D19)*E19/C19,0)</f>
        <v/>
      </c>
      <c r="G19" s="9" t="n"/>
    </row>
    <row r="20" ht="14.15" customHeight="1">
      <c r="A20" s="16" t="n">
        <v>5</v>
      </c>
      <c r="B20" s="8" t="inlineStr">
        <is>
          <t>Power electronics lab or simulated lab (for 25 trainees)</t>
        </is>
      </c>
      <c r="C20" s="9" t="n">
        <v>1</v>
      </c>
      <c r="D20" s="9" t="n">
        <v>0</v>
      </c>
      <c r="E20" s="9" t="n">
        <v>8</v>
      </c>
      <c r="F20" s="9">
        <f>IFERROR(MIN(C20,D20)*E20/C20,0)</f>
        <v/>
      </c>
      <c r="G20" s="9" t="n"/>
    </row>
    <row r="21" ht="14.15" customHeight="1">
      <c r="A21" s="16" t="n">
        <v>6</v>
      </c>
      <c r="B21" s="8" t="inlineStr">
        <is>
          <t>Circuit simulation software — LTspice, MATLAB/Simulink, Wokwi or equivalent (25)</t>
        </is>
      </c>
      <c r="C21" s="9" t="n">
        <v>25</v>
      </c>
      <c r="D21" s="9" t="n">
        <v>0</v>
      </c>
      <c r="E21" s="9" t="n">
        <v>9</v>
      </c>
      <c r="F21" s="9">
        <f>IFERROR(MIN(C21,D21)*E21/C21,0)</f>
        <v/>
      </c>
      <c r="G21" s="9" t="n"/>
    </row>
    <row r="22" ht="14.15" customHeight="1">
      <c r="A22" s="16" t="n">
        <v>7</v>
      </c>
      <c r="B22" s="8" t="inlineStr">
        <is>
          <t>PCB design tools — KiCad, EasyEDA or equivalent (25)</t>
        </is>
      </c>
      <c r="C22" s="9" t="n">
        <v>25</v>
      </c>
      <c r="D22" s="9" t="n">
        <v>0</v>
      </c>
      <c r="E22" s="9" t="n">
        <v>8</v>
      </c>
      <c r="F22" s="9">
        <f>IFERROR(MIN(C22,D22)*E22/C22,0)</f>
        <v/>
      </c>
      <c r="G22" s="9" t="n"/>
    </row>
    <row r="23" ht="14.15" customHeight="1">
      <c r="A23" s="16" t="n">
        <v>8</v>
      </c>
      <c r="B23" s="8" t="inlineStr">
        <is>
          <t>Power semiconductor sample devices &amp; modules (diodes, MOSFETs, IGBTs, thyristors)</t>
        </is>
      </c>
      <c r="C23" s="9" t="n">
        <v>1</v>
      </c>
      <c r="D23" s="9" t="n">
        <v>0</v>
      </c>
      <c r="E23" s="9" t="n">
        <v>10</v>
      </c>
      <c r="F23" s="9">
        <f>IFERROR(MIN(C23,D23)*E23/C23,0)</f>
        <v/>
      </c>
      <c r="G23" s="9" t="n"/>
    </row>
    <row r="24" ht="14.15" customHeight="1">
      <c r="A24" s="16" t="n">
        <v>9</v>
      </c>
      <c r="B24" s="8" t="inlineStr">
        <is>
          <t>Power semiconductor datasheets and application notes</t>
        </is>
      </c>
      <c r="C24" s="9" t="n">
        <v>1</v>
      </c>
      <c r="D24" s="9" t="n">
        <v>0</v>
      </c>
      <c r="E24" s="9" t="n">
        <v>4</v>
      </c>
      <c r="F24" s="9">
        <f>IFERROR(MIN(C24,D24)*E24/C24,0)</f>
        <v/>
      </c>
      <c r="G24" s="9" t="n"/>
    </row>
    <row r="25" ht="14.15" customHeight="1">
      <c r="A25" s="16" t="n">
        <v>10</v>
      </c>
      <c r="B25" s="8" t="inlineStr">
        <is>
          <t>Adjustable DC power supplies and electronic loads</t>
        </is>
      </c>
      <c r="C25" s="9" t="n">
        <v>1</v>
      </c>
      <c r="D25" s="9" t="n">
        <v>0</v>
      </c>
      <c r="E25" s="9" t="n">
        <v>9</v>
      </c>
      <c r="F25" s="9">
        <f>IFERROR(MIN(C25,D25)*E25/C25,0)</f>
        <v/>
      </c>
      <c r="G25" s="9" t="n"/>
    </row>
    <row r="26" ht="14.15" customHeight="1">
      <c r="A26" s="16" t="n">
        <v>11</v>
      </c>
      <c r="B26" s="8" t="inlineStr">
        <is>
          <t>Digital oscilloscope with current probe / differential probe (per bench)</t>
        </is>
      </c>
      <c r="C26" s="9" t="n">
        <v>1</v>
      </c>
      <c r="D26" s="9" t="n">
        <v>0</v>
      </c>
      <c r="E26" s="9" t="n">
        <v>9</v>
      </c>
      <c r="F26" s="9">
        <f>IFERROR(MIN(C26,D26)*E26/C26,0)</f>
        <v/>
      </c>
      <c r="G26" s="9" t="n"/>
    </row>
    <row r="27" ht="14.15" customHeight="1">
      <c r="A27" s="16" t="n">
        <v>12</v>
      </c>
      <c r="B27" s="8" t="inlineStr">
        <is>
          <t>Digital multimeters and power analyzer</t>
        </is>
      </c>
      <c r="C27" s="9" t="n">
        <v>1</v>
      </c>
      <c r="D27" s="9" t="n">
        <v>0</v>
      </c>
      <c r="E27" s="9" t="n">
        <v>8</v>
      </c>
      <c r="F27" s="9">
        <f>IFERROR(MIN(C27,D27)*E27/C27,0)</f>
        <v/>
      </c>
      <c r="G27" s="9" t="n"/>
    </row>
    <row r="28" ht="14.15" customHeight="1">
      <c r="A28" s="16" t="n">
        <v>13</v>
      </c>
      <c r="B28" s="8" t="inlineStr">
        <is>
          <t>MCU/embedded boards — Arduino, ESP32, STM32 or equivalent (per bench)</t>
        </is>
      </c>
      <c r="C28" s="9" t="n">
        <v>1</v>
      </c>
      <c r="D28" s="9" t="n">
        <v>0</v>
      </c>
      <c r="E28" s="9" t="n">
        <v>8</v>
      </c>
      <c r="F28" s="9">
        <f>IFERROR(MIN(C28,D28)*E28/C28,0)</f>
        <v/>
      </c>
      <c r="G28" s="9" t="n"/>
    </row>
    <row r="29" ht="14.15" customHeight="1">
      <c r="A29" s="16" t="n">
        <v>14</v>
      </c>
      <c r="B29" s="8" t="inlineStr">
        <is>
          <t>Sensors — current sensor, voltage divider, temperature and speed sensors</t>
        </is>
      </c>
      <c r="C29" s="9" t="n">
        <v>1</v>
      </c>
      <c r="D29" s="9" t="n">
        <v>0</v>
      </c>
      <c r="E29" s="9" t="n">
        <v>7</v>
      </c>
      <c r="F29" s="9">
        <f>IFERROR(MIN(C29,D29)*E29/C29,0)</f>
        <v/>
      </c>
      <c r="G29" s="9" t="n"/>
    </row>
    <row r="30" ht="14.15" customHeight="1">
      <c r="A30" s="16" t="n">
        <v>15</v>
      </c>
      <c r="B30" s="8" t="inlineStr">
        <is>
          <t>Gate-driver ICs, bootstrap and Miller-clamp components</t>
        </is>
      </c>
      <c r="C30" s="9" t="n">
        <v>1</v>
      </c>
      <c r="D30" s="9" t="n">
        <v>0</v>
      </c>
      <c r="E30" s="9" t="n">
        <v>8</v>
      </c>
      <c r="F30" s="9">
        <f>IFERROR(MIN(C30,D30)*E30/C30,0)</f>
        <v/>
      </c>
      <c r="G30" s="9" t="n"/>
    </row>
    <row r="31" ht="14.15" customHeight="1">
      <c r="A31" s="16" t="n">
        <v>16</v>
      </c>
      <c r="B31" s="8" t="inlineStr">
        <is>
          <t>Heat sinks, thermal interface materials, cooling and temperature sensors</t>
        </is>
      </c>
      <c r="C31" s="9" t="n">
        <v>1</v>
      </c>
      <c r="D31" s="9" t="n">
        <v>0</v>
      </c>
      <c r="E31" s="9" t="n">
        <v>6</v>
      </c>
      <c r="F31" s="9">
        <f>IFERROR(MIN(C31,D31)*E31/C31,0)</f>
        <v/>
      </c>
      <c r="G31" s="9" t="n"/>
    </row>
    <row r="32" ht="14.15" customHeight="1">
      <c r="A32" s="16" t="n">
        <v>17</v>
      </c>
      <c r="B32" s="8" t="inlineStr">
        <is>
          <t>Soldering and assembly stations with ESD protection (per bench)</t>
        </is>
      </c>
      <c r="C32" s="9" t="n">
        <v>1</v>
      </c>
      <c r="D32" s="9" t="n">
        <v>0</v>
      </c>
      <c r="E32" s="9" t="n">
        <v>7</v>
      </c>
      <c r="F32" s="9">
        <f>IFERROR(MIN(C32,D32)*E32/C32,0)</f>
        <v/>
      </c>
      <c r="G32" s="9" t="n"/>
    </row>
    <row r="33" ht="14.15" customHeight="1">
      <c r="A33" s="16" t="n">
        <v>18</v>
      </c>
      <c r="B33" s="8" t="inlineStr">
        <is>
          <t>PPE, ESD mat and wrist strap; first-aid and fire-safety equipment</t>
        </is>
      </c>
      <c r="C33" s="9" t="n">
        <v>1</v>
      </c>
      <c r="D33" s="9" t="n">
        <v>0</v>
      </c>
      <c r="E33" s="9" t="n">
        <v>5</v>
      </c>
      <c r="F33" s="9">
        <f>IFERROR(MIN(C33,D33)*E33/C33,0)</f>
        <v/>
      </c>
      <c r="G33" s="9" t="n"/>
    </row>
    <row r="34" ht="14.15" customHeight="1">
      <c r="A34" s="16" t="n">
        <v>19</v>
      </c>
      <c r="B34" s="8" t="inlineStr">
        <is>
          <t>Motors (BLDC/induction/DC), battery packs and solar/PV modules or emulators</t>
        </is>
      </c>
      <c r="C34" s="9" t="n">
        <v>1</v>
      </c>
      <c r="D34" s="9" t="n">
        <v>0</v>
      </c>
      <c r="E34" s="9" t="n">
        <v>8</v>
      </c>
      <c r="F34" s="9">
        <f>IFERROR(MIN(C34,D34)*E34/C34,0)</f>
        <v/>
      </c>
      <c r="G34" s="9" t="n"/>
    </row>
    <row r="35">
      <c r="A35" s="17" t="inlineStr">
        <is>
          <t>Sum</t>
        </is>
      </c>
      <c r="B35" s="11" t="n"/>
      <c r="C35" s="11" t="n"/>
      <c r="D35" s="12" t="n"/>
      <c r="E35" s="17">
        <f>SUM(E16:E34)</f>
        <v/>
      </c>
      <c r="F35" s="17">
        <f>SUM(F16:F34)</f>
        <v/>
      </c>
      <c r="G35" s="13" t="n"/>
    </row>
    <row r="36">
      <c r="A36" s="17" t="inlineStr">
        <is>
          <t>Score out of 100</t>
        </is>
      </c>
      <c r="B36" s="11" t="n"/>
      <c r="C36" s="11" t="n"/>
      <c r="D36" s="11" t="n"/>
      <c r="E36" s="12" t="n"/>
      <c r="F36" s="17">
        <f>F35/E35*100</f>
        <v/>
      </c>
      <c r="G36" s="13" t="n"/>
    </row>
    <row r="37" ht="9.75" customHeight="1"/>
    <row r="38">
      <c r="A38" s="17" t="inlineStr">
        <is>
          <t xml:space="preserve">Total achieved points out of 30  </t>
        </is>
      </c>
      <c r="B38" s="11" t="n"/>
      <c r="C38" s="11" t="n"/>
      <c r="D38" s="11" t="n"/>
      <c r="E38" s="12" t="n"/>
      <c r="F38" s="17">
        <f>F36*30/100</f>
        <v/>
      </c>
      <c r="G38" s="17"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Smart Systems Engineering: Embedded Design and Semiconductor Application Interfaces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Smart Systems Engineering: Embedded Design and Semiconductor Application Interfaces</t>
        </is>
      </c>
      <c r="C8" s="4" t="inlineStr">
        <is>
          <t>Embedded/electronics lab (approx. for 25 trainees) with benches, storage and stationery</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Smart Systems Engineering: Embedded Design and Semiconductor Application Interfaces,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Computer/Laptop (1 unit) — trainer station</t>
        </is>
      </c>
      <c r="C16" s="9" t="n">
        <v>1</v>
      </c>
      <c r="D16" s="9" t="n">
        <v>0</v>
      </c>
      <c r="E16" s="9" t="n">
        <v>6</v>
      </c>
      <c r="F16" s="9">
        <f>IFERROR(MIN(C16,D16)*E16/C16,0)</f>
        <v/>
      </c>
      <c r="G16" s="9" t="n"/>
    </row>
    <row r="17" ht="14.15" customHeight="1">
      <c r="A17" s="16" t="n">
        <v>2</v>
      </c>
      <c r="B17" s="8" t="inlineStr">
        <is>
          <t>Multimedia projector &amp; screen (1 unit)</t>
        </is>
      </c>
      <c r="C17" s="9" t="n">
        <v>1</v>
      </c>
      <c r="D17" s="9" t="n">
        <v>0</v>
      </c>
      <c r="E17" s="9" t="n">
        <v>6</v>
      </c>
      <c r="F17" s="9">
        <f>IFERROR(MIN(C17,D17)*E17/C17,0)</f>
        <v/>
      </c>
      <c r="G17" s="9" t="n"/>
    </row>
    <row r="18" ht="14.15" customHeight="1">
      <c r="A18" s="16" t="n">
        <v>3</v>
      </c>
      <c r="B18" s="8" t="inlineStr">
        <is>
          <t>Printer (1 unit)</t>
        </is>
      </c>
      <c r="C18" s="9" t="n">
        <v>1</v>
      </c>
      <c r="D18" s="9" t="n">
        <v>0</v>
      </c>
      <c r="E18" s="9" t="n">
        <v>4</v>
      </c>
      <c r="F18" s="9">
        <f>IFERROR(MIN(C18,D18)*E18/C18,0)</f>
        <v/>
      </c>
      <c r="G18" s="9" t="n"/>
    </row>
    <row r="19" ht="14.15" customHeight="1">
      <c r="A19" s="16" t="n">
        <v>4</v>
      </c>
      <c r="B19" s="8" t="inlineStr">
        <is>
          <t>Desktop/Laptop workstations (25 units) with internet access</t>
        </is>
      </c>
      <c r="C19" s="9" t="n">
        <v>25</v>
      </c>
      <c r="D19" s="9" t="n">
        <v>0</v>
      </c>
      <c r="E19" s="9" t="n">
        <v>7</v>
      </c>
      <c r="F19" s="9">
        <f>IFERROR(MIN(C19,D19)*E19/C19,0)</f>
        <v/>
      </c>
      <c r="G19" s="9" t="n"/>
    </row>
    <row r="20" ht="14.15" customHeight="1">
      <c r="A20" s="16" t="n">
        <v>5</v>
      </c>
      <c r="B20" s="8" t="inlineStr">
        <is>
          <t>Embedded / electronics laboratory (for 25 trainees)</t>
        </is>
      </c>
      <c r="C20" s="9" t="n">
        <v>1</v>
      </c>
      <c r="D20" s="9" t="n">
        <v>0</v>
      </c>
      <c r="E20" s="9" t="n">
        <v>7</v>
      </c>
      <c r="F20" s="9">
        <f>IFERROR(MIN(C20,D20)*E20/C20,0)</f>
        <v/>
      </c>
      <c r="G20" s="9" t="n"/>
    </row>
    <row r="21" ht="14.15" customHeight="1">
      <c r="A21" s="16" t="n">
        <v>6</v>
      </c>
      <c r="B21" s="8" t="inlineStr">
        <is>
          <t>Embedded development boards — Arduino, ESP32, STM32, Raspberry Pi Pico or equivalent (per trainee)</t>
        </is>
      </c>
      <c r="C21" s="9" t="n">
        <v>1</v>
      </c>
      <c r="D21" s="9" t="n">
        <v>0</v>
      </c>
      <c r="E21" s="9" t="n">
        <v>9</v>
      </c>
      <c r="F21" s="9">
        <f>IFERROR(MIN(C21,D21)*E21/C21,0)</f>
        <v/>
      </c>
      <c r="G21" s="9" t="n"/>
    </row>
    <row r="22" ht="14.15" customHeight="1">
      <c r="A22" s="16" t="n">
        <v>7</v>
      </c>
      <c r="B22" s="8" t="inlineStr">
        <is>
          <t>Embedded IDEs / toolchains — Arduino IDE, PlatformIO, STM32CubeIDE, Wokwi or vendor SDK (25)</t>
        </is>
      </c>
      <c r="C22" s="9" t="n">
        <v>25</v>
      </c>
      <c r="D22" s="9" t="n">
        <v>0</v>
      </c>
      <c r="E22" s="9" t="n">
        <v>9</v>
      </c>
      <c r="F22" s="9">
        <f>IFERROR(MIN(C22,D22)*E22/C22,0)</f>
        <v/>
      </c>
      <c r="G22" s="9" t="n"/>
    </row>
    <row r="23" ht="14.15" customHeight="1">
      <c r="A23" s="16" t="n">
        <v>8</v>
      </c>
      <c r="B23" s="8" t="inlineStr">
        <is>
          <t>Sensor modules — temperature, humidity, motion/IMU, current, light/optical, environmental</t>
        </is>
      </c>
      <c r="C23" s="9" t="n">
        <v>1</v>
      </c>
      <c r="D23" s="9" t="n">
        <v>0</v>
      </c>
      <c r="E23" s="9" t="n">
        <v>8</v>
      </c>
      <c r="F23" s="9">
        <f>IFERROR(MIN(C23,D23)*E23/C23,0)</f>
        <v/>
      </c>
      <c r="G23" s="9" t="n"/>
    </row>
    <row r="24" ht="14.15" customHeight="1">
      <c r="A24" s="16" t="n">
        <v>9</v>
      </c>
      <c r="B24" s="8" t="inlineStr">
        <is>
          <t>Communication/interface modules and displays (OLED/LCD; UART/I2C/SPI/RS232/RS485)</t>
        </is>
      </c>
      <c r="C24" s="9" t="n">
        <v>1</v>
      </c>
      <c r="D24" s="9" t="n">
        <v>0</v>
      </c>
      <c r="E24" s="9" t="n">
        <v>8</v>
      </c>
      <c r="F24" s="9">
        <f>IFERROR(MIN(C24,D24)*E24/C24,0)</f>
        <v/>
      </c>
      <c r="G24" s="9" t="n"/>
    </row>
    <row r="25" ht="14.15" customHeight="1">
      <c r="A25" s="16" t="n">
        <v>10</v>
      </c>
      <c r="B25" s="8" t="inlineStr">
        <is>
          <t>PCB design tools — KiCad, EasyEDA, Altium or equivalent EDA tools (25)</t>
        </is>
      </c>
      <c r="C25" s="9" t="n">
        <v>25</v>
      </c>
      <c r="D25" s="9" t="n">
        <v>0</v>
      </c>
      <c r="E25" s="9" t="n">
        <v>8</v>
      </c>
      <c r="F25" s="9">
        <f>IFERROR(MIN(C25,D25)*E25/C25,0)</f>
        <v/>
      </c>
      <c r="G25" s="9" t="n"/>
    </row>
    <row r="26" ht="14.15" customHeight="1">
      <c r="A26" s="16" t="n">
        <v>11</v>
      </c>
      <c r="B26" s="8" t="inlineStr">
        <is>
          <t>Digital oscilloscope (per bench)</t>
        </is>
      </c>
      <c r="C26" s="9" t="n">
        <v>1</v>
      </c>
      <c r="D26" s="9" t="n">
        <v>0</v>
      </c>
      <c r="E26" s="9" t="n">
        <v>8</v>
      </c>
      <c r="F26" s="9">
        <f>IFERROR(MIN(C26,D26)*E26/C26,0)</f>
        <v/>
      </c>
      <c r="G26" s="9" t="n"/>
    </row>
    <row r="27" ht="14.15" customHeight="1">
      <c r="A27" s="16" t="n">
        <v>12</v>
      </c>
      <c r="B27" s="8" t="inlineStr">
        <is>
          <t>Logic analyzer with protocol decoding (per bench)</t>
        </is>
      </c>
      <c r="C27" s="9" t="n">
        <v>1</v>
      </c>
      <c r="D27" s="9" t="n">
        <v>0</v>
      </c>
      <c r="E27" s="9" t="n">
        <v>8</v>
      </c>
      <c r="F27" s="9">
        <f>IFERROR(MIN(C27,D27)*E27/C27,0)</f>
        <v/>
      </c>
      <c r="G27" s="9" t="n"/>
    </row>
    <row r="28" ht="14.15" customHeight="1">
      <c r="A28" s="16" t="n">
        <v>13</v>
      </c>
      <c r="B28" s="8" t="inlineStr">
        <is>
          <t>JTAG/SWD debugger (per bench)</t>
        </is>
      </c>
      <c r="C28" s="9" t="n">
        <v>1</v>
      </c>
      <c r="D28" s="9" t="n">
        <v>0</v>
      </c>
      <c r="E28" s="9" t="n">
        <v>8</v>
      </c>
      <c r="F28" s="9">
        <f>IFERROR(MIN(C28,D28)*E28/C28,0)</f>
        <v/>
      </c>
      <c r="G28" s="9" t="n"/>
    </row>
    <row r="29" ht="14.15" customHeight="1">
      <c r="A29" s="16" t="n">
        <v>14</v>
      </c>
      <c r="B29" s="8" t="inlineStr">
        <is>
          <t>Digital multimeters and adjustable power supplies (per bench)</t>
        </is>
      </c>
      <c r="C29" s="9" t="n">
        <v>1</v>
      </c>
      <c r="D29" s="9" t="n">
        <v>0</v>
      </c>
      <c r="E29" s="9" t="n">
        <v>7</v>
      </c>
      <c r="F29" s="9">
        <f>IFERROR(MIN(C29,D29)*E29/C29,0)</f>
        <v/>
      </c>
      <c r="G29" s="9" t="n"/>
    </row>
    <row r="30" ht="14.15" customHeight="1">
      <c r="A30" s="16" t="n">
        <v>15</v>
      </c>
      <c r="B30" s="8" t="inlineStr">
        <is>
          <t>Semiconductor devices — MCUs, sensor ICs, LDO/switching regulators, MOSFETs, level shifters, ESD protection</t>
        </is>
      </c>
      <c r="C30" s="9" t="n">
        <v>1</v>
      </c>
      <c r="D30" s="9" t="n">
        <v>0</v>
      </c>
      <c r="E30" s="9" t="n">
        <v>9</v>
      </c>
      <c r="F30" s="9">
        <f>IFERROR(MIN(C30,D30)*E30/C30,0)</f>
        <v/>
      </c>
      <c r="G30" s="9" t="n"/>
    </row>
    <row r="31" ht="14.15" customHeight="1">
      <c r="A31" s="16" t="n">
        <v>16</v>
      </c>
      <c r="B31" s="8" t="inlineStr">
        <is>
          <t>Breadboards, prototyping boards, basic components and hand tools</t>
        </is>
      </c>
      <c r="C31" s="9" t="n">
        <v>1</v>
      </c>
      <c r="D31" s="9" t="n">
        <v>0</v>
      </c>
      <c r="E31" s="9" t="n">
        <v>6</v>
      </c>
      <c r="F31" s="9">
        <f>IFERROR(MIN(C31,D31)*E31/C31,0)</f>
        <v/>
      </c>
      <c r="G31" s="9" t="n"/>
    </row>
    <row r="32" ht="14.15" customHeight="1">
      <c r="A32" s="16" t="n">
        <v>17</v>
      </c>
      <c r="B32" s="8" t="inlineStr">
        <is>
          <t>Soldering and assembly stations with ESD protection (per bench)</t>
        </is>
      </c>
      <c r="C32" s="9" t="n">
        <v>1</v>
      </c>
      <c r="D32" s="9" t="n">
        <v>0</v>
      </c>
      <c r="E32" s="9" t="n">
        <v>7</v>
      </c>
      <c r="F32" s="9">
        <f>IFERROR(MIN(C32,D32)*E32/C32,0)</f>
        <v/>
      </c>
      <c r="G32" s="9" t="n"/>
    </row>
    <row r="33" ht="14.15" customHeight="1">
      <c r="A33" s="16" t="n">
        <v>18</v>
      </c>
      <c r="B33" s="8" t="inlineStr">
        <is>
          <t>PPE, ESD mat and wrist strap; first-aid and fire-safety equipment</t>
        </is>
      </c>
      <c r="C33" s="9" t="n">
        <v>1</v>
      </c>
      <c r="D33" s="9" t="n">
        <v>0</v>
      </c>
      <c r="E33" s="9" t="n">
        <v>5</v>
      </c>
      <c r="F33" s="9">
        <f>IFERROR(MIN(C33,D33)*E33/C33,0)</f>
        <v/>
      </c>
      <c r="G33" s="9" t="n"/>
    </row>
    <row r="34" ht="14.15" customHeight="1">
      <c r="A34" s="16" t="n">
        <v>19</v>
      </c>
      <c r="B34" s="8" t="inlineStr">
        <is>
          <t>Serial terminals, USB-serial adapters and cabling</t>
        </is>
      </c>
      <c r="C34" s="9" t="n">
        <v>1</v>
      </c>
      <c r="D34" s="9" t="n">
        <v>0</v>
      </c>
      <c r="E34" s="9" t="n">
        <v>5</v>
      </c>
      <c r="F34" s="9">
        <f>IFERROR(MIN(C34,D34)*E34/C34,0)</f>
        <v/>
      </c>
      <c r="G34" s="9" t="n"/>
    </row>
    <row r="35">
      <c r="A35" s="17" t="inlineStr">
        <is>
          <t>Sum</t>
        </is>
      </c>
      <c r="B35" s="11" t="n"/>
      <c r="C35" s="11" t="n"/>
      <c r="D35" s="12" t="n"/>
      <c r="E35" s="17">
        <f>SUM(E16:E34)</f>
        <v/>
      </c>
      <c r="F35" s="17">
        <f>SUM(F16:F34)</f>
        <v/>
      </c>
      <c r="G35" s="13" t="n"/>
    </row>
    <row r="36">
      <c r="A36" s="17" t="inlineStr">
        <is>
          <t>Score out of 100</t>
        </is>
      </c>
      <c r="B36" s="11" t="n"/>
      <c r="C36" s="11" t="n"/>
      <c r="D36" s="11" t="n"/>
      <c r="E36" s="12" t="n"/>
      <c r="F36" s="17">
        <f>F35/E35*100</f>
        <v/>
      </c>
      <c r="G36" s="13" t="n"/>
    </row>
    <row r="37" ht="9.75" customHeight="1"/>
    <row r="38">
      <c r="A38" s="17" t="inlineStr">
        <is>
          <t xml:space="preserve">Total achieved points out of 30  </t>
        </is>
      </c>
      <c r="B38" s="11" t="n"/>
      <c r="C38" s="11" t="n"/>
      <c r="D38" s="11" t="n"/>
      <c r="E38" s="12" t="n"/>
      <c r="F38" s="17">
        <f>F36*30/100</f>
        <v/>
      </c>
      <c r="G38" s="17"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Semiconductor Testing Engineering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Semiconductor Testing Engineering</t>
        </is>
      </c>
      <c r="C8" s="4" t="inlineStr">
        <is>
          <t>Computer Lab (400 sft) and Test &amp; Measurement Laboratory (700–800 sft) for 25 trainees</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Semiconductor Testing Engineering,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High-performance Desktop/Laptop Workstation (25 trainees + 01 trainer)</t>
        </is>
      </c>
      <c r="C16" s="9" t="n">
        <v>26</v>
      </c>
      <c r="D16" s="9" t="n">
        <v>0</v>
      </c>
      <c r="E16" s="9" t="n">
        <v>10</v>
      </c>
      <c r="F16" s="9">
        <f>IFERROR(MIN(C16,D16)*E16/C16,0)</f>
        <v/>
      </c>
      <c r="G16" s="9" t="n"/>
    </row>
    <row r="17" ht="14.15" customHeight="1">
      <c r="A17" s="18" t="n">
        <v>2</v>
      </c>
      <c r="B17" s="8" t="inlineStr">
        <is>
          <t>Printer</t>
        </is>
      </c>
      <c r="C17" s="9" t="n">
        <v>1</v>
      </c>
      <c r="D17" s="9" t="n">
        <v>0</v>
      </c>
      <c r="E17" s="9" t="n">
        <v>5</v>
      </c>
      <c r="F17" s="9">
        <f>IFERROR(MIN(C17,D17)*E17/C17,0)</f>
        <v/>
      </c>
      <c r="G17" s="9" t="n"/>
    </row>
    <row r="18" ht="14.15" customHeight="1">
      <c r="A18" s="18" t="n">
        <v>3</v>
      </c>
      <c r="B18" s="8" t="inlineStr">
        <is>
          <t>Multimedia Projector</t>
        </is>
      </c>
      <c r="C18" s="9" t="n">
        <v>1</v>
      </c>
      <c r="D18" s="9" t="n">
        <v>0</v>
      </c>
      <c r="E18" s="9" t="n">
        <v>5</v>
      </c>
      <c r="F18" s="9">
        <f>IFERROR(MIN(C18,D18)*E18/C18,0)</f>
        <v/>
      </c>
      <c r="G18" s="9" t="n"/>
    </row>
    <row r="19" ht="14.15" customHeight="1">
      <c r="A19" s="18" t="n">
        <v>4</v>
      </c>
      <c r="B19" s="8" t="inlineStr">
        <is>
          <t>ATE Test Program Development Software (Advantest SmarTest Offline/Simulator or equivalent ATE simulation environment)</t>
        </is>
      </c>
      <c r="C19" s="9" t="n">
        <v>25</v>
      </c>
      <c r="D19" s="9" t="n">
        <v>0</v>
      </c>
      <c r="E19" s="9" t="n">
        <v>10</v>
      </c>
      <c r="F19" s="9">
        <f>IFERROR(MIN(C19,D19)*E19/C19,0)</f>
        <v/>
      </c>
      <c r="G19" s="9" t="n"/>
    </row>
    <row r="20" ht="14.15" customHeight="1">
      <c r="A20" s="18" t="n">
        <v>5</v>
      </c>
      <c r="B20" s="8" t="inlineStr">
        <is>
          <t>Data Analysis Software (Spreadsheet/Statistical/Scripting Tools)</t>
        </is>
      </c>
      <c r="C20" s="9" t="n">
        <v>25</v>
      </c>
      <c r="D20" s="9" t="n">
        <v>0</v>
      </c>
      <c r="E20" s="9" t="n">
        <v>8</v>
      </c>
      <c r="F20" s="9">
        <f>IFERROR(MIN(C20,D20)*E20/C20,0)</f>
        <v/>
      </c>
      <c r="G20" s="9" t="n"/>
    </row>
    <row r="21" ht="14.15" customHeight="1">
      <c r="A21" s="18" t="n">
        <v>6</v>
      </c>
      <c r="B21" s="8" t="inlineStr">
        <is>
          <t>Digital Multimeter</t>
        </is>
      </c>
      <c r="C21" s="9" t="n">
        <v>25</v>
      </c>
      <c r="D21" s="9" t="n">
        <v>0</v>
      </c>
      <c r="E21" s="9" t="n">
        <v>7</v>
      </c>
      <c r="F21" s="9">
        <f>IFERROR(MIN(C21,D21)*E21/C21,0)</f>
        <v/>
      </c>
      <c r="G21" s="9" t="n"/>
    </row>
    <row r="22" ht="14.15" customHeight="1">
      <c r="A22" s="18" t="n">
        <v>7</v>
      </c>
      <c r="B22" s="8" t="inlineStr">
        <is>
          <t>ESD-safe Workbench with ESD Mat and Wrist Strap</t>
        </is>
      </c>
      <c r="C22" s="9" t="n">
        <v>25</v>
      </c>
      <c r="D22" s="9" t="n">
        <v>0</v>
      </c>
      <c r="E22" s="9" t="n">
        <v>8</v>
      </c>
      <c r="F22" s="9">
        <f>IFERROR(MIN(C22,D22)*E22/C22,0)</f>
        <v/>
      </c>
      <c r="G22" s="9" t="n"/>
    </row>
    <row r="23" ht="14.15" customHeight="1">
      <c r="A23" s="18" t="n">
        <v>8</v>
      </c>
      <c r="B23" s="8" t="inlineStr">
        <is>
          <t>Sample IC Devices and Test Boards (Digital, Analog, Mixed-Signal)</t>
        </is>
      </c>
      <c r="C23" s="9" t="n">
        <v>25</v>
      </c>
      <c r="D23" s="9" t="n">
        <v>0</v>
      </c>
      <c r="E23" s="9" t="n">
        <v>9</v>
      </c>
      <c r="F23" s="9">
        <f>IFERROR(MIN(C23,D23)*E23/C23,0)</f>
        <v/>
      </c>
      <c r="G23" s="9" t="n"/>
    </row>
    <row r="24" ht="14.15" customHeight="1">
      <c r="A24" s="18" t="n">
        <v>9</v>
      </c>
      <c r="B24" s="8" t="inlineStr">
        <is>
          <t>Breadboard and Electronic Component Kits</t>
        </is>
      </c>
      <c r="C24" s="9" t="n">
        <v>25</v>
      </c>
      <c r="D24" s="9" t="n">
        <v>0</v>
      </c>
      <c r="E24" s="9" t="n">
        <v>6</v>
      </c>
      <c r="F24" s="9">
        <f>IFERROR(MIN(C24,D24)*E24/C24,0)</f>
        <v/>
      </c>
      <c r="G24" s="9" t="n"/>
    </row>
    <row r="25" ht="14.15" customHeight="1">
      <c r="A25" s="18" t="n">
        <v>10</v>
      </c>
      <c r="B25" s="8" t="inlineStr">
        <is>
          <t>Digital Storage Oscilloscope</t>
        </is>
      </c>
      <c r="C25" s="9" t="n">
        <v>13</v>
      </c>
      <c r="D25" s="9" t="n">
        <v>0</v>
      </c>
      <c r="E25" s="9" t="n">
        <v>9</v>
      </c>
      <c r="F25" s="9">
        <f>IFERROR(MIN(C25,D25)*E25/C25,0)</f>
        <v/>
      </c>
      <c r="G25" s="9" t="n"/>
    </row>
    <row r="26" ht="14.15" customHeight="1">
      <c r="A26" s="18" t="n">
        <v>11</v>
      </c>
      <c r="B26" s="8" t="inlineStr">
        <is>
          <t>DC Regulated Power Supply</t>
        </is>
      </c>
      <c r="C26" s="9" t="n">
        <v>13</v>
      </c>
      <c r="D26" s="9" t="n">
        <v>0</v>
      </c>
      <c r="E26" s="9" t="n">
        <v>8</v>
      </c>
      <c r="F26" s="9">
        <f>IFERROR(MIN(C26,D26)*E26/C26,0)</f>
        <v/>
      </c>
      <c r="G26" s="9" t="n"/>
    </row>
    <row r="27" ht="14.15" customHeight="1">
      <c r="A27" s="18" t="n">
        <v>12</v>
      </c>
      <c r="B27" s="8" t="inlineStr">
        <is>
          <t>Function/Signal Generator</t>
        </is>
      </c>
      <c r="C27" s="9" t="n">
        <v>13</v>
      </c>
      <c r="D27" s="9" t="n">
        <v>0</v>
      </c>
      <c r="E27" s="9" t="n">
        <v>8</v>
      </c>
      <c r="F27" s="9">
        <f>IFERROR(MIN(C27,D27)*E27/C27,0)</f>
        <v/>
      </c>
      <c r="G27" s="9" t="n"/>
    </row>
    <row r="28" ht="14.15" customHeight="1">
      <c r="A28" s="18" t="n">
        <v>13</v>
      </c>
      <c r="B28" s="8" t="inlineStr">
        <is>
          <t>Logic Analyzer</t>
        </is>
      </c>
      <c r="C28" s="9" t="n">
        <v>13</v>
      </c>
      <c r="D28" s="9" t="n">
        <v>0</v>
      </c>
      <c r="E28" s="9" t="n">
        <v>8</v>
      </c>
      <c r="F28" s="9">
        <f>IFERROR(MIN(C28,D28)*E28/C28,0)</f>
        <v/>
      </c>
      <c r="G28" s="9" t="n"/>
    </row>
    <row r="29" ht="14.15" customHeight="1">
      <c r="A29" s="18" t="n">
        <v>14</v>
      </c>
      <c r="B29" s="8" t="inlineStr">
        <is>
          <t>Sample Loadboard/DUT Board and Socket Demonstration Kits</t>
        </is>
      </c>
      <c r="C29" s="9" t="n">
        <v>5</v>
      </c>
      <c r="D29" s="9" t="n">
        <v>0</v>
      </c>
      <c r="E29" s="9" t="n">
        <v>8</v>
      </c>
      <c r="F29" s="9">
        <f>IFERROR(MIN(C29,D29)*E29/C29,0)</f>
        <v/>
      </c>
      <c r="G29" s="9" t="n"/>
    </row>
    <row r="30" ht="14.15" customHeight="1">
      <c r="A30" s="18" t="n">
        <v>15</v>
      </c>
      <c r="B30" s="8" t="inlineStr">
        <is>
          <t>Probe Card and Test Fixture Illustration/Demonstration Set</t>
        </is>
      </c>
      <c r="C30" s="9" t="n">
        <v>2</v>
      </c>
      <c r="D30" s="9" t="n">
        <v>0</v>
      </c>
      <c r="E30" s="9" t="n">
        <v>7</v>
      </c>
      <c r="F30" s="9">
        <f>IFERROR(MIN(C30,D30)*E30/C30,0)</f>
        <v/>
      </c>
      <c r="G30" s="9" t="n"/>
    </row>
    <row r="31" ht="14.15" customHeight="1">
      <c r="A31" s="18" t="n">
        <v>16</v>
      </c>
      <c r="B31" s="8" t="inlineStr">
        <is>
          <t>ATE Access or Remote/Partner ATE Facility (Advantest V93000 or equivalent) for Demonstration</t>
        </is>
      </c>
      <c r="C31" s="9" t="n">
        <v>1</v>
      </c>
      <c r="D31" s="9" t="n">
        <v>0</v>
      </c>
      <c r="E31" s="9" t="n">
        <v>10</v>
      </c>
      <c r="F31" s="9">
        <f>IFERROR(MIN(C31,D31)*E31/C31,0)</f>
        <v/>
      </c>
      <c r="G31" s="9" t="inlineStr">
        <is>
          <t>01 set</t>
        </is>
      </c>
    </row>
    <row r="32" ht="14.15" customHeight="1">
      <c r="A32" s="18" t="n">
        <v>17</v>
      </c>
      <c r="B32" s="8" t="inlineStr">
        <is>
          <t>Sample Production Test Data Sets (STDF/CSV) with Analysis Templates</t>
        </is>
      </c>
      <c r="C32" s="9" t="n">
        <v>1</v>
      </c>
      <c r="D32" s="9" t="n">
        <v>0</v>
      </c>
      <c r="E32" s="9" t="n">
        <v>8</v>
      </c>
      <c r="F32" s="9">
        <f>IFERROR(MIN(C32,D32)*E32/C32,0)</f>
        <v/>
      </c>
      <c r="G32" s="9" t="inlineStr">
        <is>
          <t>01 set</t>
        </is>
      </c>
    </row>
    <row r="33" ht="14.15" customHeight="1">
      <c r="A33" s="18" t="n">
        <v>18</v>
      </c>
      <c r="B33" s="8" t="inlineStr">
        <is>
          <t>Internet Connectivity with Network Switch and Router</t>
        </is>
      </c>
      <c r="C33" s="9" t="n">
        <v>1</v>
      </c>
      <c r="D33" s="9" t="n">
        <v>0</v>
      </c>
      <c r="E33" s="9" t="n">
        <v>6</v>
      </c>
      <c r="F33" s="9">
        <f>IFERROR(MIN(C33,D33)*E33/C33,0)</f>
        <v/>
      </c>
      <c r="G33" s="9" t="n"/>
    </row>
    <row r="34" ht="14.15" customHeight="1">
      <c r="A34" s="18" t="n">
        <v>19</v>
      </c>
      <c r="B34" s="8" t="inlineStr">
        <is>
          <t>Central File/Storage Server</t>
        </is>
      </c>
      <c r="C34" s="9" t="n">
        <v>1</v>
      </c>
      <c r="D34" s="9" t="n">
        <v>0</v>
      </c>
      <c r="E34" s="9" t="n">
        <v>6</v>
      </c>
      <c r="F34" s="9">
        <f>IFERROR(MIN(C34,D34)*E34/C34,0)</f>
        <v/>
      </c>
      <c r="G34" s="9" t="n"/>
    </row>
    <row r="35" ht="14.15" customHeight="1">
      <c r="A35" s="18" t="n">
        <v>20</v>
      </c>
      <c r="B35" s="8" t="inlineStr">
        <is>
          <t>First Aid and Fire Safety Equipment</t>
        </is>
      </c>
      <c r="C35" s="9" t="n">
        <v>1</v>
      </c>
      <c r="D35" s="9" t="n">
        <v>0</v>
      </c>
      <c r="E35" s="9" t="n">
        <v>5</v>
      </c>
      <c r="F35" s="9">
        <f>IFERROR(MIN(C35,D35)*E35/C35,0)</f>
        <v/>
      </c>
      <c r="G35" s="9" t="inlineStr">
        <is>
          <t>01 set</t>
        </is>
      </c>
    </row>
    <row r="36">
      <c r="A36" s="19" t="inlineStr">
        <is>
          <t>Sum</t>
        </is>
      </c>
      <c r="B36" s="11" t="n"/>
      <c r="C36" s="11" t="n"/>
      <c r="D36" s="12" t="n"/>
      <c r="E36" s="19">
        <f>SUM(E16:E35)</f>
        <v/>
      </c>
      <c r="F36" s="19">
        <f>SUM(F16:F35)</f>
        <v/>
      </c>
      <c r="G36" s="13" t="n"/>
    </row>
    <row r="37">
      <c r="A37" s="19" t="inlineStr">
        <is>
          <t>Score out of 100</t>
        </is>
      </c>
      <c r="B37" s="11" t="n"/>
      <c r="C37" s="11" t="n"/>
      <c r="D37" s="11" t="n"/>
      <c r="E37" s="12" t="n"/>
      <c r="F37" s="19">
        <f>F36/E36*100</f>
        <v/>
      </c>
      <c r="G37" s="13" t="n"/>
    </row>
    <row r="38" ht="9.75" customHeight="1"/>
    <row r="39">
      <c r="A39" s="19" t="inlineStr">
        <is>
          <t xml:space="preserve">Total achieved points out of 30  </t>
        </is>
      </c>
      <c r="B39" s="11" t="n"/>
      <c r="C39" s="11" t="n"/>
      <c r="D39" s="11" t="n"/>
      <c r="E39" s="12" t="n"/>
      <c r="F39" s="19">
        <f>F37*30/100</f>
        <v/>
      </c>
      <c r="G39" s="19" t="inlineStr">
        <is>
          <t>Points</t>
        </is>
      </c>
    </row>
  </sheetData>
  <mergeCells count="8">
    <mergeCell ref="A13:G13"/>
    <mergeCell ref="A39:E39"/>
    <mergeCell ref="C7:G7"/>
    <mergeCell ref="A1:G1"/>
    <mergeCell ref="A38:G38"/>
    <mergeCell ref="A37:E37"/>
    <mergeCell ref="C8:G8"/>
    <mergeCell ref="A36:D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2026-09-14T04:59:02Z</dcterms:modified>
</cp:coreProperties>
</file>
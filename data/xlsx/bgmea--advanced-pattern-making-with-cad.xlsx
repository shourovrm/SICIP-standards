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Pattern Making CAD"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Pattern Making with CAD</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Advanced Pattern Making with CAD</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Pattern Making with CAD,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 (Minimum Core i3, 8GB RAM, 500GB SSD, 21" Monitor, Graphics-supported)</t>
        </is>
      </c>
      <c r="C16" s="9" t="n">
        <v>20</v>
      </c>
      <c r="D16" s="9" t="n"/>
      <c r="E16" s="9" t="n">
        <v>10</v>
      </c>
      <c r="F16" s="9">
        <f>IFERROR(MIN(C16,D16)*E16/C16,0)</f>
        <v/>
      </c>
      <c r="G16" s="9" t="n"/>
    </row>
    <row r="17" ht="14.15" customHeight="1">
      <c r="A17" s="7" t="n">
        <v>2</v>
      </c>
      <c r="B17" s="8" t="inlineStr">
        <is>
          <t>CAD Software (Lectra/Gerber/Optitex/Gemini)</t>
        </is>
      </c>
      <c r="C17" s="9" t="n">
        <v>1</v>
      </c>
      <c r="D17" s="9" t="n"/>
      <c r="E17" s="9" t="n">
        <v>10</v>
      </c>
      <c r="F17" s="9">
        <f>IFERROR(MIN(C17,D17)*E17/C17,0)</f>
        <v/>
      </c>
      <c r="G17" s="9" t="n"/>
    </row>
    <row r="18" ht="14.15" customHeight="1">
      <c r="A18" s="7" t="n">
        <v>3</v>
      </c>
      <c r="B18" s="8" t="inlineStr">
        <is>
          <t>UPS/Backup Power Supply (1–2 hours backup per workstation)</t>
        </is>
      </c>
      <c r="C18" s="9" t="n">
        <v>20</v>
      </c>
      <c r="D18" s="9" t="n"/>
      <c r="E18" s="9" t="n">
        <v>5</v>
      </c>
      <c r="F18" s="9">
        <f>IFERROR(MIN(C18,D18)*E18/C18,0)</f>
        <v/>
      </c>
      <c r="G18" s="9" t="n"/>
    </row>
    <row r="19" ht="14.15" customHeight="1">
      <c r="A19" s="7" t="n">
        <v>4</v>
      </c>
      <c r="B19" s="8" t="inlineStr">
        <is>
          <t>Plotter/Printer (A0 size, compatible with CAD software, minimum 40-60 inches width)</t>
        </is>
      </c>
      <c r="C19" s="9" t="n">
        <v>1</v>
      </c>
      <c r="D19" s="9" t="n"/>
      <c r="E19" s="9" t="n">
        <v>8</v>
      </c>
      <c r="F19" s="9">
        <f>IFERROR(MIN(C19,D19)*E19/C19,0)</f>
        <v/>
      </c>
      <c r="G19" s="9" t="n"/>
    </row>
    <row r="20" ht="14.15" customHeight="1">
      <c r="A20" s="7" t="n">
        <v>5</v>
      </c>
      <c r="B20" s="8" t="inlineStr">
        <is>
          <t>Projector &amp; Screen (HD quality, HDMI support, 3000+ lumens)</t>
        </is>
      </c>
      <c r="C20" s="9" t="n">
        <v>1</v>
      </c>
      <c r="D20" s="9" t="n"/>
      <c r="E20" s="9" t="n">
        <v>5</v>
      </c>
      <c r="F20" s="9">
        <f>IFERROR(MIN(C20,D20)*E20/C20,0)</f>
        <v/>
      </c>
      <c r="G20" s="9" t="n"/>
    </row>
    <row r="21" ht="14.15" customHeight="1">
      <c r="A21" s="7" t="n">
        <v>6</v>
      </c>
      <c r="B21" s="8" t="inlineStr">
        <is>
          <t>Mannequins/Dress Forms (Female and male standard sizes)</t>
        </is>
      </c>
      <c r="C21" s="9" t="n">
        <v>2</v>
      </c>
      <c r="D21" s="9" t="n"/>
      <c r="E21" s="9" t="n">
        <v>5</v>
      </c>
      <c r="F21" s="9">
        <f>IFERROR(MIN(C21,D21)*E21/C21,0)</f>
        <v/>
      </c>
      <c r="G21" s="9" t="n"/>
    </row>
    <row r="22" ht="14.15" customHeight="1">
      <c r="A22" s="7" t="n">
        <v>7</v>
      </c>
      <c r="B22" s="8" t="inlineStr">
        <is>
          <t>Working Table (Minimum size 2 ft × 4 ft, laminated surface)</t>
        </is>
      </c>
      <c r="C22" s="9" t="n">
        <v>2</v>
      </c>
      <c r="D22" s="9" t="n"/>
      <c r="E22" s="9" t="n">
        <v>4</v>
      </c>
      <c r="F22" s="9">
        <f>IFERROR(MIN(C22,D22)*E22/C22,0)</f>
        <v/>
      </c>
      <c r="G22" s="9" t="n"/>
    </row>
    <row r="23" ht="14.15" customHeight="1">
      <c r="A23" s="7" t="n">
        <v>8</v>
      </c>
      <c r="B23" s="8" t="inlineStr">
        <is>
          <t>Single needle lock stitch machine</t>
        </is>
      </c>
      <c r="C23" s="9" t="n">
        <v>1</v>
      </c>
      <c r="D23" s="9" t="n"/>
      <c r="E23" s="9" t="n">
        <v>5</v>
      </c>
      <c r="F23" s="9">
        <f>IFERROR(MIN(C23,D23)*E23/C23,0)</f>
        <v/>
      </c>
      <c r="G23" s="9" t="n"/>
    </row>
    <row r="24" ht="14.15" customHeight="1">
      <c r="A24" s="7" t="n">
        <v>9</v>
      </c>
      <c r="B24" s="8" t="inlineStr">
        <is>
          <t>Overlock machine</t>
        </is>
      </c>
      <c r="C24" s="9" t="n">
        <v>1</v>
      </c>
      <c r="D24" s="9" t="n"/>
      <c r="E24" s="9" t="n">
        <v>5</v>
      </c>
      <c r="F24" s="9">
        <f>IFERROR(MIN(C24,D24)*E24/C24,0)</f>
        <v/>
      </c>
      <c r="G24" s="9" t="n"/>
    </row>
    <row r="25" ht="14.15" customHeight="1">
      <c r="A25" s="7" t="n">
        <v>10</v>
      </c>
      <c r="B25" s="8" t="inlineStr">
        <is>
          <t>Flat lock machine</t>
        </is>
      </c>
      <c r="C25" s="9" t="n">
        <v>1</v>
      </c>
      <c r="D25" s="9" t="n"/>
      <c r="E25" s="9" t="n">
        <v>5</v>
      </c>
      <c r="F25" s="9">
        <f>IFERROR(MIN(C25,D25)*E25/C25,0)</f>
        <v/>
      </c>
      <c r="G25" s="9" t="n"/>
    </row>
    <row r="26">
      <c r="A26" s="10" t="inlineStr">
        <is>
          <t>Sum</t>
        </is>
      </c>
      <c r="B26" s="11" t="n"/>
      <c r="C26" s="11" t="n"/>
      <c r="D26" s="12" t="n"/>
      <c r="E26" s="10">
        <f>SUM(E16:E25)</f>
        <v/>
      </c>
      <c r="F26" s="10">
        <f>SUM(F16:F25)</f>
        <v/>
      </c>
      <c r="G26" s="13" t="n"/>
    </row>
    <row r="27">
      <c r="A27" s="10" t="inlineStr">
        <is>
          <t>Score out of 100</t>
        </is>
      </c>
      <c r="B27" s="11" t="n"/>
      <c r="C27" s="11" t="n"/>
      <c r="D27" s="11" t="n"/>
      <c r="E27" s="12" t="n"/>
      <c r="F27" s="10">
        <f>F26/E26*100</f>
        <v/>
      </c>
      <c r="G27" s="13" t="n"/>
    </row>
    <row r="28" ht="9.75" customHeight="1"/>
    <row r="29">
      <c r="A29" s="10" t="inlineStr">
        <is>
          <t xml:space="preserve">Total achieved points out of 30  </t>
        </is>
      </c>
      <c r="B29" s="11" t="n"/>
      <c r="C29" s="11" t="n"/>
      <c r="D29" s="11" t="n"/>
      <c r="E29" s="12" t="n"/>
      <c r="F29" s="10">
        <f>F27*30/100</f>
        <v/>
      </c>
      <c r="G29" s="10" t="inlineStr">
        <is>
          <t>Points</t>
        </is>
      </c>
    </row>
  </sheetData>
  <mergeCells count="8">
    <mergeCell ref="A13:G13"/>
    <mergeCell ref="C7:G7"/>
    <mergeCell ref="A29:E29"/>
    <mergeCell ref="A1:G1"/>
    <mergeCell ref="A26:D26"/>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2026-08-20T03:29:14Z</dcterms:modified>
</cp:coreProperties>
</file>
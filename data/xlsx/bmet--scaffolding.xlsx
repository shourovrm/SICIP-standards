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affold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Scaffolding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Scaffolding</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Scaffolding,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MS pipe (pipe range 1.5” to 2.5” dia), 10’ each</t>
        </is>
      </c>
      <c r="C19" s="9" t="n">
        <v>112</v>
      </c>
      <c r="D19" s="9" t="n"/>
      <c r="E19" s="9" t="n">
        <v>9</v>
      </c>
      <c r="F19" s="9">
        <f>IFERROR(MIN(C19,D19)*E19/C19,0)</f>
        <v/>
      </c>
      <c r="G19" s="9" t="n"/>
    </row>
    <row r="20" ht="14.15" customHeight="1">
      <c r="A20" s="7" t="n">
        <v>5</v>
      </c>
      <c r="B20" s="8" t="inlineStr">
        <is>
          <t>Working platform (aluminum/toe board), range of length 5’, width 2’</t>
        </is>
      </c>
      <c r="C20" s="9" t="n">
        <v>8</v>
      </c>
      <c r="D20" s="9" t="n"/>
      <c r="E20" s="9" t="n">
        <v>8</v>
      </c>
      <c r="F20" s="9">
        <f>IFERROR(MIN(C20,D20)*E20/C20,0)</f>
        <v/>
      </c>
      <c r="G20" s="9" t="n"/>
    </row>
    <row r="21" ht="14.15" customHeight="1">
      <c r="A21" s="7" t="n">
        <v>6</v>
      </c>
      <c r="B21" s="8" t="inlineStr">
        <is>
          <t>Sole board (300 mm x 300 mm) thickness – 38 mm</t>
        </is>
      </c>
      <c r="C21" s="9" t="n">
        <v>16</v>
      </c>
      <c r="D21" s="9" t="n"/>
      <c r="E21" s="9" t="n">
        <v>7</v>
      </c>
      <c r="F21" s="9">
        <f>IFERROR(MIN(C21,D21)*E21/C21,0)</f>
        <v/>
      </c>
      <c r="G21" s="9" t="n"/>
    </row>
    <row r="22" ht="14.15" customHeight="1">
      <c r="A22" s="7" t="n">
        <v>7</v>
      </c>
      <c r="B22" s="8" t="inlineStr">
        <is>
          <t>Base plate</t>
        </is>
      </c>
      <c r="C22" s="9" t="n">
        <v>16</v>
      </c>
      <c r="D22" s="9" t="n"/>
      <c r="E22" s="9" t="n">
        <v>7</v>
      </c>
      <c r="F22" s="9">
        <f>IFERROR(MIN(C22,D22)*E22/C22,0)</f>
        <v/>
      </c>
      <c r="G22" s="9" t="n"/>
    </row>
    <row r="23" ht="14.15" customHeight="1">
      <c r="A23" s="7" t="n">
        <v>8</v>
      </c>
      <c r="B23" s="8" t="inlineStr">
        <is>
          <t>Grinding machine</t>
        </is>
      </c>
      <c r="C23" s="9" t="n">
        <v>2</v>
      </c>
      <c r="D23" s="9" t="n"/>
      <c r="E23" s="9" t="n">
        <v>6</v>
      </c>
      <c r="F23" s="9">
        <f>IFERROR(MIN(C23,D23)*E23/C23,0)</f>
        <v/>
      </c>
      <c r="G23" s="9" t="n"/>
    </row>
    <row r="24" ht="14.15" customHeight="1">
      <c r="A24" s="7" t="n">
        <v>9</v>
      </c>
      <c r="B24" s="8" t="inlineStr">
        <is>
          <t>Rachet spanner</t>
        </is>
      </c>
      <c r="C24" s="9" t="n">
        <v>25</v>
      </c>
      <c r="D24" s="9" t="n"/>
      <c r="E24" s="9" t="n">
        <v>4</v>
      </c>
      <c r="F24" s="9">
        <f>IFERROR(MIN(C24,D24)*E24/C24,0)</f>
        <v/>
      </c>
      <c r="G24" s="9" t="n"/>
    </row>
    <row r="25" ht="14.15" customHeight="1">
      <c r="A25" s="7" t="n">
        <v>10</v>
      </c>
      <c r="B25" s="8" t="inlineStr">
        <is>
          <t>Ball pin hammer</t>
        </is>
      </c>
      <c r="C25" s="9" t="n">
        <v>25</v>
      </c>
      <c r="D25" s="9" t="n"/>
      <c r="E25" s="9" t="n">
        <v>4</v>
      </c>
      <c r="F25" s="9">
        <f>IFERROR(MIN(C25,D25)*E25/C25,0)</f>
        <v/>
      </c>
      <c r="G25" s="9" t="n"/>
    </row>
    <row r="26" ht="14.15" customHeight="1">
      <c r="A26" s="7" t="n">
        <v>11</v>
      </c>
      <c r="B26" s="8" t="inlineStr">
        <is>
          <t>Magnetic spirit level</t>
        </is>
      </c>
      <c r="C26" s="9" t="n">
        <v>25</v>
      </c>
      <c r="D26" s="9" t="n"/>
      <c r="E26" s="9" t="n">
        <v>4</v>
      </c>
      <c r="F26" s="9">
        <f>IFERROR(MIN(C26,D26)*E26/C26,0)</f>
        <v/>
      </c>
      <c r="G26" s="9" t="n"/>
    </row>
    <row r="27" ht="14.15" customHeight="1">
      <c r="A27" s="7" t="n">
        <v>12</v>
      </c>
      <c r="B27" s="8" t="inlineStr">
        <is>
          <t>Measuring tape (steel)</t>
        </is>
      </c>
      <c r="C27" s="9" t="n">
        <v>25</v>
      </c>
      <c r="D27" s="9" t="n"/>
      <c r="E27" s="9" t="n">
        <v>3</v>
      </c>
      <c r="F27" s="9">
        <f>IFERROR(MIN(C27,D27)*E27/C27,0)</f>
        <v/>
      </c>
      <c r="G27" s="9" t="n"/>
    </row>
    <row r="28" ht="14.15" customHeight="1">
      <c r="A28" s="7" t="n">
        <v>13</v>
      </c>
      <c r="B28" s="8" t="inlineStr">
        <is>
          <t>Adjustable wrench</t>
        </is>
      </c>
      <c r="C28" s="9" t="n">
        <v>4</v>
      </c>
      <c r="D28" s="9" t="n"/>
      <c r="E28" s="9" t="n">
        <v>4</v>
      </c>
      <c r="F28" s="9">
        <f>IFERROR(MIN(C28,D28)*E28/C28,0)</f>
        <v/>
      </c>
      <c r="G28" s="9" t="n"/>
    </row>
    <row r="29">
      <c r="A29" s="10" t="inlineStr">
        <is>
          <t>Sum</t>
        </is>
      </c>
      <c r="B29" s="11" t="n"/>
      <c r="C29" s="11" t="n"/>
      <c r="D29" s="12" t="n"/>
      <c r="E29" s="10">
        <f>SUM(E16:E28)</f>
        <v/>
      </c>
      <c r="F29" s="10">
        <f>SUM(F16:F28)</f>
        <v/>
      </c>
      <c r="G29" s="13" t="n"/>
    </row>
    <row r="30">
      <c r="A30" s="10" t="inlineStr">
        <is>
          <t>Score out of 100</t>
        </is>
      </c>
      <c r="B30" s="11" t="n"/>
      <c r="C30" s="11" t="n"/>
      <c r="D30" s="11" t="n"/>
      <c r="E30" s="12" t="n"/>
      <c r="F30" s="10">
        <f>F29/E29*100</f>
        <v/>
      </c>
      <c r="G30" s="13" t="n"/>
    </row>
    <row r="31" ht="9.75" customHeight="1"/>
    <row r="32">
      <c r="A32" s="10" t="inlineStr">
        <is>
          <t xml:space="preserve">Total achieved points out of 30  </t>
        </is>
      </c>
      <c r="B32" s="11" t="n"/>
      <c r="C32" s="11" t="n"/>
      <c r="D32" s="11" t="n"/>
      <c r="E32" s="12" t="n"/>
      <c r="F32" s="10">
        <f>F30*30/100</f>
        <v/>
      </c>
      <c r="G32" s="10" t="inlineStr">
        <is>
          <t>Points</t>
        </is>
      </c>
    </row>
  </sheetData>
  <mergeCells count="8">
    <mergeCell ref="A30:E30"/>
    <mergeCell ref="A13:G13"/>
    <mergeCell ref="C7:G7"/>
    <mergeCell ref="A1:G1"/>
    <mergeCell ref="A31:G31"/>
    <mergeCell ref="A29:D29"/>
    <mergeCell ref="A32:E32"/>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2026-08-17T07:23:46Z</dcterms:created>
  <dcterms:modified xmlns:dcterms="http://purl.org/dc/terms/" xmlns:xsi="http://www.w3.org/2001/XMLSchema-instance" xsi:type="dcterms:W3CDTF">2026-08-20T03:29:18Z</dcterms:modified>
</cp:coreProperties>
</file>
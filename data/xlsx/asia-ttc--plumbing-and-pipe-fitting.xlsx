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Plumbing Pipe Fi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Plumbing and Pipe Fitting</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Wash Basin</t>
        </is>
      </c>
      <c r="C20" s="9" t="n">
        <v>5</v>
      </c>
      <c r="D20" s="9" t="n"/>
      <c r="E20" s="9" t="n">
        <v>6</v>
      </c>
      <c r="F20" s="9">
        <f>IFERROR(MIN(C20,D20)*E20/C20,0)</f>
        <v/>
      </c>
      <c r="G20" s="9" t="n"/>
    </row>
    <row r="21" ht="14.15" customHeight="1">
      <c r="A21" s="7" t="n">
        <v>6</v>
      </c>
      <c r="B21" s="8" t="inlineStr">
        <is>
          <t>Western commode</t>
        </is>
      </c>
      <c r="C21" s="9" t="n">
        <v>5</v>
      </c>
      <c r="D21" s="9" t="n"/>
      <c r="E21" s="9" t="n">
        <v>6</v>
      </c>
      <c r="F21" s="9">
        <f>IFERROR(MIN(C21,D21)*E21/C21,0)</f>
        <v/>
      </c>
      <c r="G21" s="9" t="n"/>
    </row>
    <row r="22" ht="14.15" customHeight="1">
      <c r="A22" s="7" t="n">
        <v>7</v>
      </c>
      <c r="B22" s="8" t="inlineStr">
        <is>
          <t>Asian commode</t>
        </is>
      </c>
      <c r="C22" s="9" t="n">
        <v>5</v>
      </c>
      <c r="D22" s="9" t="n"/>
      <c r="E22" s="9" t="n">
        <v>6</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5</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Cutter</t>
        </is>
      </c>
      <c r="C28" s="9" t="n">
        <v>20</v>
      </c>
      <c r="D28" s="9" t="n"/>
      <c r="E28" s="9" t="n">
        <v>7</v>
      </c>
      <c r="F28" s="9">
        <f>IFERROR(MIN(C28,D28)*E28/C28,0)</f>
        <v/>
      </c>
      <c r="G28" s="9" t="n"/>
    </row>
    <row r="29" ht="14.15" customHeight="1">
      <c r="A29" s="7" t="n">
        <v>14</v>
      </c>
      <c r="B29" s="8" t="inlineStr">
        <is>
          <t>Pipe vice (with stand/ work table)</t>
        </is>
      </c>
      <c r="C29" s="9" t="n">
        <v>20</v>
      </c>
      <c r="D29" s="9" t="n"/>
      <c r="E29" s="9" t="n">
        <v>8</v>
      </c>
      <c r="F29" s="9">
        <f>IFERROR(MIN(C29,D29)*E29/C29,0)</f>
        <v/>
      </c>
      <c r="G29" s="9" t="n"/>
    </row>
    <row r="30" ht="14.15" customHeight="1">
      <c r="A30" s="7" t="n">
        <v>15</v>
      </c>
      <c r="B30" s="8" t="inlineStr">
        <is>
          <t>Pipe threading machine</t>
        </is>
      </c>
      <c r="C30" s="9" t="n">
        <v>1</v>
      </c>
      <c r="D30" s="9" t="n"/>
      <c r="E30" s="9" t="n">
        <v>8</v>
      </c>
      <c r="F30" s="9">
        <f>IFERROR(MIN(C30,D30)*E30/C30,0)</f>
        <v/>
      </c>
      <c r="G30" s="9" t="n"/>
    </row>
    <row r="31" ht="14.15" customHeight="1">
      <c r="A31" s="7" t="n">
        <v>16</v>
      </c>
      <c r="B31" s="8" t="inlineStr">
        <is>
          <t>Diestock</t>
        </is>
      </c>
      <c r="C31" s="9" t="n">
        <v>20</v>
      </c>
      <c r="D31" s="9" t="n"/>
      <c r="E31" s="9" t="n">
        <v>6</v>
      </c>
      <c r="F31" s="9">
        <f>IFERROR(MIN(C31,D31)*E31/C31,0)</f>
        <v/>
      </c>
      <c r="G31" s="9" t="n"/>
    </row>
    <row r="32" ht="14.15" customHeight="1">
      <c r="A32" s="7" t="n">
        <v>17</v>
      </c>
      <c r="B32" s="8" t="inlineStr">
        <is>
          <t>Grinding Machine</t>
        </is>
      </c>
      <c r="C32" s="9" t="n">
        <v>10</v>
      </c>
      <c r="D32" s="9" t="n"/>
      <c r="E32" s="9" t="n">
        <v>6</v>
      </c>
      <c r="F32" s="9">
        <f>IFERROR(MIN(C32,D32)*E32/C32,0)</f>
        <v/>
      </c>
      <c r="G32" s="9" t="n"/>
    </row>
    <row r="33" ht="14.15" customHeight="1">
      <c r="A33" s="7" t="n">
        <v>18</v>
      </c>
      <c r="B33" s="8" t="inlineStr">
        <is>
          <t>Spirit level</t>
        </is>
      </c>
      <c r="C33" s="9" t="n">
        <v>10</v>
      </c>
      <c r="D33" s="9" t="n"/>
      <c r="E33" s="9" t="n">
        <v>4</v>
      </c>
      <c r="F33" s="9">
        <f>IFERROR(MIN(C33,D33)*E33/C33,0)</f>
        <v/>
      </c>
      <c r="G33" s="9" t="n"/>
    </row>
    <row r="34" ht="14.15" customHeight="1">
      <c r="A34" s="7" t="n">
        <v>19</v>
      </c>
      <c r="B34" s="8" t="inlineStr">
        <is>
          <t>Drill machine</t>
        </is>
      </c>
      <c r="C34" s="9" t="n">
        <v>5</v>
      </c>
      <c r="D34" s="9" t="n"/>
      <c r="E34" s="9" t="n">
        <v>6</v>
      </c>
      <c r="F34" s="9">
        <f>IFERROR(MIN(C34,D34)*E34/C34,0)</f>
        <v/>
      </c>
      <c r="G34" s="9" t="n"/>
    </row>
    <row r="35" ht="14.15" customHeight="1">
      <c r="A35" s="7" t="n">
        <v>20</v>
      </c>
      <c r="B35" s="8" t="inlineStr">
        <is>
          <t>PPR welding machine</t>
        </is>
      </c>
      <c r="C35" s="9" t="n">
        <v>2</v>
      </c>
      <c r="D35" s="9" t="n"/>
      <c r="E35" s="9" t="n">
        <v>8</v>
      </c>
      <c r="F35" s="9">
        <f>IFERROR(MIN(C35,D35)*E35/C35,0)</f>
        <v/>
      </c>
      <c r="G35" s="9" t="n"/>
    </row>
    <row r="36" ht="14.15" customHeight="1">
      <c r="A36" s="7" t="n">
        <v>21</v>
      </c>
      <c r="B36" s="8" t="inlineStr">
        <is>
          <t>Core cutting machine</t>
        </is>
      </c>
      <c r="C36" s="9" t="n">
        <v>1</v>
      </c>
      <c r="D36" s="9" t="n"/>
      <c r="E36" s="9" t="n">
        <v>7</v>
      </c>
      <c r="F36" s="9">
        <f>IFERROR(MIN(C36,D36)*E36/C36,0)</f>
        <v/>
      </c>
      <c r="G36" s="9" t="n"/>
    </row>
    <row r="37" ht="14.15" customHeight="1">
      <c r="A37" s="7" t="n">
        <v>22</v>
      </c>
      <c r="B37" s="8" t="inlineStr">
        <is>
          <t>Pipe wrench</t>
        </is>
      </c>
      <c r="C37" s="9" t="n">
        <v>20</v>
      </c>
      <c r="D37" s="9" t="n"/>
      <c r="E37" s="9" t="n">
        <v>4</v>
      </c>
      <c r="F37" s="9">
        <f>IFERROR(MIN(C37,D37)*E37/C37,0)</f>
        <v/>
      </c>
      <c r="G37" s="9" t="n"/>
    </row>
    <row r="38" ht="14.15" customHeight="1">
      <c r="A38" s="7" t="n">
        <v>23</v>
      </c>
      <c r="B38" s="8" t="inlineStr">
        <is>
          <t>Overhead water Tank</t>
        </is>
      </c>
      <c r="C38" s="9" t="n">
        <v>1</v>
      </c>
      <c r="D38" s="9" t="n"/>
      <c r="E38" s="9" t="n">
        <v>5</v>
      </c>
      <c r="F38" s="9">
        <f>IFERROR(MIN(C38,D38)*E38/C38,0)</f>
        <v/>
      </c>
      <c r="G38" s="9" t="n"/>
    </row>
    <row r="39" ht="14.15" customHeight="1">
      <c r="A39" s="7" t="n">
        <v>24</v>
      </c>
      <c r="B39" s="8" t="inlineStr">
        <is>
          <t>Tri-Square</t>
        </is>
      </c>
      <c r="C39" s="9" t="n">
        <v>10</v>
      </c>
      <c r="D39" s="9" t="n"/>
      <c r="E39" s="9" t="n">
        <v>3</v>
      </c>
      <c r="F39" s="9">
        <f>IFERROR(MIN(C39,D39)*E39/C39,0)</f>
        <v/>
      </c>
      <c r="G39" s="9" t="n"/>
    </row>
    <row r="40" ht="14.15" customHeight="1">
      <c r="A40" s="7" t="n">
        <v>25</v>
      </c>
      <c r="B40" s="8" t="inlineStr">
        <is>
          <t>Plum bob</t>
        </is>
      </c>
      <c r="C40" s="9" t="n">
        <v>10</v>
      </c>
      <c r="D40" s="9" t="n"/>
      <c r="E40" s="9" t="n">
        <v>3</v>
      </c>
      <c r="F40" s="9">
        <f>IFERROR(MIN(C40,D40)*E40/C40,0)</f>
        <v/>
      </c>
      <c r="G40" s="9" t="n"/>
    </row>
    <row r="41" ht="14.15" customHeight="1">
      <c r="A41" s="7" t="n">
        <v>26</v>
      </c>
      <c r="B41" s="8" t="inlineStr">
        <is>
          <t>Measuring Tape</t>
        </is>
      </c>
      <c r="C41" s="9" t="n">
        <v>20</v>
      </c>
      <c r="D41" s="9" t="n"/>
      <c r="E41" s="9" t="n">
        <v>3</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
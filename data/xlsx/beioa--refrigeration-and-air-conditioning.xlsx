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Refrigeration A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8</v>
      </c>
      <c r="F17" s="9">
        <f>IFERROR(MIN(C17,D17)*E17/C17,0)</f>
        <v/>
      </c>
      <c r="G17" s="9" t="n"/>
    </row>
    <row r="18" ht="14.15" customHeight="1">
      <c r="A18" s="7" t="n">
        <v>3</v>
      </c>
      <c r="B18" s="8" t="inlineStr">
        <is>
          <t>Cassette Type AC</t>
        </is>
      </c>
      <c r="C18" s="9" t="n">
        <v>1</v>
      </c>
      <c r="D18" s="9" t="n">
        <v>0</v>
      </c>
      <c r="E18" s="9" t="n">
        <v>8</v>
      </c>
      <c r="F18" s="9">
        <f>IFERROR(MIN(C18,D18)*E18/C18,0)</f>
        <v/>
      </c>
      <c r="G18" s="9" t="n"/>
    </row>
    <row r="19" ht="14.15" customHeight="1">
      <c r="A19" s="7" t="n">
        <v>4</v>
      </c>
      <c r="B19" s="8" t="inlineStr">
        <is>
          <t>Vacuum Pumps</t>
        </is>
      </c>
      <c r="C19" s="9" t="n">
        <v>5</v>
      </c>
      <c r="D19" s="9" t="n">
        <v>0</v>
      </c>
      <c r="E19" s="9" t="n">
        <v>7</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9</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5</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7</v>
      </c>
      <c r="F26" s="9">
        <f>IFERROR(MIN(C26,D26)*E26/C26,0)</f>
        <v/>
      </c>
      <c r="G26" s="9" t="n"/>
    </row>
    <row r="27" ht="14.15" customHeight="1">
      <c r="A27" s="7" t="n">
        <v>12</v>
      </c>
      <c r="B27" s="8" t="inlineStr">
        <is>
          <t>Freeze (Non-Frost)</t>
        </is>
      </c>
      <c r="C27" s="9" t="n">
        <v>2</v>
      </c>
      <c r="D27" s="9" t="n">
        <v>0</v>
      </c>
      <c r="E27" s="9" t="n">
        <v>7</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6</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
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pparel Merchandising"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14"/>
    </font>
    <font>
      <name val="Arial"/>
      <b val="1"/>
      <sz val="11"/>
    </font>
    <font>
      <name val="Arial"/>
      <sz val="11"/>
    </font>
  </fonts>
  <fills count="3">
    <fill>
      <patternFill/>
    </fill>
    <fill>
      <patternFill patternType="gray125"/>
    </fill>
    <fill>
      <patternFill patternType="solid">
        <fgColor rgb="FFD9D9D9"/>
      </patternFill>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14">
    <xf numFmtId="0" fontId="0" fillId="0" borderId="0" pivotButton="0" quotePrefix="0" xfId="0"/>
    <xf numFmtId="0" fontId="1" fillId="0" borderId="0" applyAlignment="1" pivotButton="0" quotePrefix="0" xfId="0">
      <alignment horizontal="center" vertical="bottom"/>
    </xf>
    <xf numFmtId="0" fontId="2" fillId="0" borderId="1" applyAlignment="1" pivotButton="0" quotePrefix="0" xfId="0">
      <alignment horizontal="center" vertical="center" wrapText="1"/>
    </xf>
    <xf numFmtId="0" fontId="2" fillId="0" borderId="0" pivotButton="0" quotePrefix="0" xfId="0"/>
    <xf numFmtId="0" fontId="2" fillId="0" borderId="1" applyAlignment="1" pivotButton="0" quotePrefix="0" xfId="0">
      <alignment horizontal="left" vertical="center" wrapText="1"/>
    </xf>
    <xf numFmtId="0" fontId="3" fillId="0" borderId="0" applyAlignment="1" pivotButton="0" quotePrefix="0" xfId="0">
      <alignment horizontal="left" vertical="top" wrapText="1"/>
    </xf>
    <xf numFmtId="0" fontId="2" fillId="2" borderId="1" applyAlignment="1" pivotButton="0" quotePrefix="0" xfId="0">
      <alignment horizontal="center" vertical="center" wrapText="1"/>
    </xf>
    <xf numFmtId="0" fontId="3" fillId="0" borderId="1" applyAlignment="1" pivotButton="0" quotePrefix="0" xfId="0">
      <alignment horizontal="center" vertical="center"/>
    </xf>
    <xf numFmtId="0" fontId="3" fillId="0" borderId="1" applyAlignment="1" pivotButton="0" quotePrefix="0" xfId="0">
      <alignment horizontal="left" vertical="top" wrapText="1"/>
    </xf>
    <xf numFmtId="0" fontId="3" fillId="0" borderId="1" applyAlignment="1" pivotButton="0" quotePrefix="0" xfId="0">
      <alignment horizontal="center" vertical="center" wrapText="1"/>
    </xf>
    <xf numFmtId="0" fontId="2" fillId="0" borderId="1" applyAlignment="1" pivotButton="0" quotePrefix="0" xfId="0">
      <alignment horizontal="center" vertical="center"/>
    </xf>
    <xf numFmtId="0" fontId="0" fillId="0" borderId="4" pivotButton="0" quotePrefix="0" xfId="0"/>
    <xf numFmtId="0" fontId="0" fillId="0" borderId="5" pivotButton="0" quotePrefix="0" xfId="0"/>
    <xf numFmtId="0" fontId="2"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5"/>
  <sheetViews>
    <sheetView workbookViewId="0">
      <selection activeCell="A1" sqref="A1"/>
    </sheetView>
  </sheetViews>
  <sheetFormatPr baseColWidth="8" defaultRowHeight="15"/>
  <cols>
    <col width="15.17" customWidth="1" min="1" max="1"/>
    <col width="33.13" customWidth="1" min="2" max="2"/>
    <col width="13.72" customWidth="1" min="3" max="3"/>
    <col width="13.72" customWidth="1" min="4" max="4"/>
    <col width="13.72" customWidth="1" min="5" max="5"/>
    <col width="13.72" customWidth="1" min="6" max="6"/>
    <col width="13.72" customWidth="1" min="7" max="7"/>
  </cols>
  <sheetData>
    <row r="1" ht="17.35" customHeight="1">
      <c r="A1" s="1" t="inlineStr">
        <is>
          <t>Course-wise Training Infrastructure and Facilities</t>
        </is>
      </c>
    </row>
    <row r="3">
      <c r="A3" s="2" t="inlineStr">
        <is>
          <t>Course Name:</t>
        </is>
      </c>
      <c r="B3" s="2" t="inlineStr">
        <is>
          <t>Apparel Merchandising</t>
        </is>
      </c>
    </row>
    <row r="4" ht="26.85" customHeight="1">
      <c r="A4" s="2" t="inlineStr">
        <is>
          <t>Number of Trainees:</t>
        </is>
      </c>
      <c r="B4" s="2" t="n">
        <v>25</v>
      </c>
    </row>
    <row r="6">
      <c r="A6" s="3" t="inlineStr">
        <is>
          <t>Course-wise Training Space (Theoretical Classroom, Workshop/ Lab/ Classroom cum Workshop)</t>
        </is>
      </c>
    </row>
    <row r="7">
      <c r="B7" s="2" t="inlineStr">
        <is>
          <t>Course Name</t>
        </is>
      </c>
      <c r="C7" s="2" t="inlineStr">
        <is>
          <t>SICIP required space for 25 trainees</t>
        </is>
      </c>
      <c r="D7" s="11" t="n"/>
      <c r="E7" s="11" t="n"/>
      <c r="F7" s="11" t="n"/>
      <c r="G7" s="12" t="n"/>
    </row>
    <row r="8" ht="52.2" customHeight="1">
      <c r="B8" s="2" t="inlineStr">
        <is>
          <t>Apparel Merchandising</t>
        </is>
      </c>
      <c r="C8" s="4" t="inlineStr">
        <is>
          <t>Classroom – 350 sft (33 sqm)
Workshop/ lab – 800 sft (75 sqm)
                     OR
Classroom cum workshop – 1000 sft (93 sqm)</t>
        </is>
      </c>
      <c r="D8" s="11" t="n"/>
      <c r="E8" s="11" t="n"/>
      <c r="F8" s="11" t="n"/>
      <c r="G8" s="12" t="n"/>
    </row>
    <row r="11">
      <c r="A11" s="3" t="inlineStr">
        <is>
          <t>Major Training Equipment and Training Facilities</t>
        </is>
      </c>
    </row>
    <row r="13" ht="115.65" customHeight="1">
      <c r="A13" s="5" t="inlineStr">
        <is>
          <t>•The institute shall not use the same facilities for any other projects/organizations offering a similar course.
•The institute must provide sufficient evidence to prove ownership of the proposed training equipment.
The list denotes the minimum training equipment and facility required to effectively conduct training for a specific course. Additionally, the institute must ensure that all other necessary training tools, equipment, and furniture are available to meet the requirement of competency standards (CS) provided by SICIP.
For the operation of training course on Apparel Merchandising, the institute must ensure the availability of at least 80% of the major training equipment and training facilities (according to the CS) to be eligible for SICIP training delivery. If the score is below 80%, the remaining equipment and facilities need to be installed before the commencement of the training.
The institute will also provide all other hand tools and power tools as per CS for 25 trainees. Also, they will arrange adequate seating arrangement and classroom setup for the 25 trainees.</t>
        </is>
      </c>
    </row>
    <row r="15" ht="26.85" customHeight="1">
      <c r="A15" s="6" t="inlineStr">
        <is>
          <t>S.N.</t>
        </is>
      </c>
      <c r="B15" s="6" t="inlineStr">
        <is>
          <t>Major Equipment and Training facilities</t>
        </is>
      </c>
      <c r="C15" s="6" t="inlineStr">
        <is>
          <t>Required facilities</t>
        </is>
      </c>
      <c r="D15" s="6" t="inlineStr">
        <is>
          <t>Available facilities</t>
        </is>
      </c>
      <c r="E15" s="6" t="inlineStr">
        <is>
          <t>Weights
(out of 10)</t>
        </is>
      </c>
      <c r="F15" s="6" t="inlineStr">
        <is>
          <t>Weighted scores</t>
        </is>
      </c>
      <c r="G15" s="6" t="inlineStr">
        <is>
          <t>Remarks</t>
        </is>
      </c>
    </row>
    <row r="16" ht="14.15" customHeight="1">
      <c r="A16" s="7" t="n">
        <v>1</v>
      </c>
      <c r="B16" s="8" t="inlineStr">
        <is>
          <t>Computer</t>
        </is>
      </c>
      <c r="C16" s="9" t="n">
        <v>5</v>
      </c>
      <c r="D16" s="9" t="n"/>
      <c r="E16" s="9" t="n">
        <v>5</v>
      </c>
      <c r="F16" s="9">
        <f>IFERROR(MIN(C16,D16)*E16/C16,0)</f>
        <v/>
      </c>
      <c r="G16" s="9" t="n"/>
    </row>
    <row r="17" ht="14.15" customHeight="1">
      <c r="A17" s="7" t="n">
        <v>2</v>
      </c>
      <c r="B17" s="8" t="inlineStr">
        <is>
          <t>Internet connectivity</t>
        </is>
      </c>
      <c r="C17" s="9" t="n">
        <v>1</v>
      </c>
      <c r="D17" s="9" t="n"/>
      <c r="E17" s="9" t="n">
        <v>5</v>
      </c>
      <c r="F17" s="9">
        <f>IFERROR(MIN(C17,D17)*E17/C17,0)</f>
        <v/>
      </c>
      <c r="G17" s="9" t="n"/>
    </row>
    <row r="18" ht="14.15" customHeight="1">
      <c r="A18" s="7" t="n">
        <v>3</v>
      </c>
      <c r="B18" s="8" t="inlineStr">
        <is>
          <t>Multimedia projector &amp; screen</t>
        </is>
      </c>
      <c r="C18" s="9" t="n">
        <v>1</v>
      </c>
      <c r="D18" s="9" t="n"/>
      <c r="E18" s="9" t="n">
        <v>5</v>
      </c>
      <c r="F18" s="9">
        <f>IFERROR(MIN(C18,D18)*E18/C18,0)</f>
        <v/>
      </c>
      <c r="G18" s="9" t="n"/>
    </row>
    <row r="19" ht="14.15" customHeight="1">
      <c r="A19" s="7" t="n">
        <v>4</v>
      </c>
      <c r="B19" s="8" t="inlineStr">
        <is>
          <t>Fabric Swatches and Trims</t>
        </is>
      </c>
      <c r="C19" s="9" t="n">
        <v>25</v>
      </c>
      <c r="D19" s="9" t="n"/>
      <c r="E19" s="9" t="n">
        <v>8</v>
      </c>
      <c r="F19" s="9">
        <f>IFERROR(MIN(C19,D19)*E19/C19,0)</f>
        <v/>
      </c>
      <c r="G19" s="9" t="n"/>
    </row>
    <row r="20" ht="14.15" customHeight="1">
      <c r="A20" s="7" t="n">
        <v>5</v>
      </c>
      <c r="B20" s="8" t="inlineStr">
        <is>
          <t>Measurement tape</t>
        </is>
      </c>
      <c r="C20" s="9" t="n">
        <v>25</v>
      </c>
      <c r="D20" s="9" t="n"/>
      <c r="E20" s="9" t="n">
        <v>4</v>
      </c>
      <c r="F20" s="9">
        <f>IFERROR(MIN(C20,D20)*E20/C20,0)</f>
        <v/>
      </c>
      <c r="G20" s="9" t="n"/>
    </row>
    <row r="21" ht="14.15" customHeight="1">
      <c r="A21" s="7" t="n">
        <v>6</v>
      </c>
      <c r="B21" s="8" t="inlineStr">
        <is>
          <t>Garments sample (Knit, Woven and Sweater)</t>
        </is>
      </c>
      <c r="C21" s="9" t="n">
        <v>30</v>
      </c>
      <c r="D21" s="9" t="n"/>
      <c r="E21" s="9" t="n">
        <v>8</v>
      </c>
      <c r="F21" s="9">
        <f>IFERROR(MIN(C21,D21)*E21/C21,0)</f>
        <v/>
      </c>
      <c r="G21" s="9" t="n"/>
    </row>
    <row r="22" ht="14.15" customHeight="1">
      <c r="A22" s="7" t="n">
        <v>7</v>
      </c>
      <c r="B22" s="8" t="inlineStr">
        <is>
          <t>Mannequin doll (Child, male and female)</t>
        </is>
      </c>
      <c r="C22" s="9" t="n">
        <v>5</v>
      </c>
      <c r="D22" s="9" t="n"/>
      <c r="E22" s="9" t="n">
        <v>6</v>
      </c>
      <c r="F22" s="9">
        <f>IFERROR(MIN(C22,D22)*E22/C22,0)</f>
        <v/>
      </c>
      <c r="G22" s="9" t="n"/>
    </row>
    <row r="23" ht="14.15" customHeight="1">
      <c r="A23" s="7" t="n">
        <v>8</v>
      </c>
      <c r="B23" s="8" t="inlineStr">
        <is>
          <t>Working Table (Minimum 6 feet)</t>
        </is>
      </c>
      <c r="C23" s="9" t="n">
        <v>5</v>
      </c>
      <c r="D23" s="9" t="n"/>
      <c r="E23" s="9" t="n">
        <v>5</v>
      </c>
      <c r="F23" s="9">
        <f>IFERROR(MIN(C23,D23)*E23/C23,0)</f>
        <v/>
      </c>
      <c r="G23" s="9" t="n"/>
    </row>
    <row r="24" ht="14.15" customHeight="1">
      <c r="A24" s="7" t="n">
        <v>9</v>
      </c>
      <c r="B24" s="8" t="inlineStr">
        <is>
          <t>Counting glass/Pick glass</t>
        </is>
      </c>
      <c r="C24" s="9" t="n">
        <v>10</v>
      </c>
      <c r="D24" s="9" t="n"/>
      <c r="E24" s="9" t="n">
        <v>4</v>
      </c>
      <c r="F24" s="9">
        <f>IFERROR(MIN(C24,D24)*E24/C24,0)</f>
        <v/>
      </c>
      <c r="G24" s="9" t="n"/>
    </row>
    <row r="25" ht="14.15" customHeight="1">
      <c r="A25" s="7" t="n">
        <v>10</v>
      </c>
      <c r="B25" s="8" t="inlineStr">
        <is>
          <t>Weighing machine</t>
        </is>
      </c>
      <c r="C25" s="9" t="n">
        <v>2</v>
      </c>
      <c r="D25" s="9" t="n"/>
      <c r="E25" s="9" t="n">
        <v>6</v>
      </c>
      <c r="F25" s="9">
        <f>IFERROR(MIN(C25,D25)*E25/C25,0)</f>
        <v/>
      </c>
      <c r="G25" s="9" t="n"/>
    </row>
    <row r="26" ht="14.15" customHeight="1">
      <c r="A26" s="7" t="n">
        <v>11</v>
      </c>
      <c r="B26" s="8" t="inlineStr">
        <is>
          <t>GSM cutter and scale</t>
        </is>
      </c>
      <c r="C26" s="9" t="n">
        <v>2</v>
      </c>
      <c r="D26" s="9" t="n"/>
      <c r="E26" s="9" t="n">
        <v>6</v>
      </c>
      <c r="F26" s="9">
        <f>IFERROR(MIN(C26,D26)*E26/C26,0)</f>
        <v/>
      </c>
      <c r="G26" s="9" t="n"/>
    </row>
    <row r="27" ht="14.15" customHeight="1">
      <c r="A27" s="7" t="n">
        <v>12</v>
      </c>
      <c r="B27" s="8" t="inlineStr">
        <is>
          <t>Sample BOM sheet (Tech-pack)</t>
        </is>
      </c>
      <c r="C27" s="9" t="n">
        <v>10</v>
      </c>
      <c r="D27" s="9" t="n"/>
      <c r="E27" s="9" t="n">
        <v>3</v>
      </c>
      <c r="F27" s="9">
        <f>IFERROR(MIN(C27,D27)*E27/C27,0)</f>
        <v/>
      </c>
      <c r="G27" s="9" t="n"/>
    </row>
    <row r="28" ht="14.15" customHeight="1">
      <c r="A28" s="7" t="n">
        <v>13</v>
      </c>
      <c r="B28" s="8" t="inlineStr">
        <is>
          <t>Single needle lock stitch machine</t>
        </is>
      </c>
      <c r="C28" s="9" t="n">
        <v>1</v>
      </c>
      <c r="D28" s="9" t="n"/>
      <c r="E28" s="9" t="n">
        <v>9</v>
      </c>
      <c r="F28" s="9">
        <f>IFERROR(MIN(C28,D28)*E28/C28,0)</f>
        <v/>
      </c>
      <c r="G28" s="9" t="n"/>
    </row>
    <row r="29" ht="14.15" customHeight="1">
      <c r="A29" s="7" t="n">
        <v>14</v>
      </c>
      <c r="B29" s="8" t="inlineStr">
        <is>
          <t>Single needle chain stitch machine</t>
        </is>
      </c>
      <c r="C29" s="9" t="n">
        <v>1</v>
      </c>
      <c r="D29" s="9" t="n"/>
      <c r="E29" s="9" t="n">
        <v>9</v>
      </c>
      <c r="F29" s="9">
        <f>IFERROR(MIN(C29,D29)*E29/C29,0)</f>
        <v/>
      </c>
      <c r="G29" s="9" t="n"/>
    </row>
    <row r="30" ht="14.15" customHeight="1">
      <c r="A30" s="7" t="n">
        <v>15</v>
      </c>
      <c r="B30" s="8" t="inlineStr">
        <is>
          <t>Over lock machine</t>
        </is>
      </c>
      <c r="C30" s="9" t="n">
        <v>1</v>
      </c>
      <c r="D30" s="9" t="n"/>
      <c r="E30" s="9" t="n">
        <v>9</v>
      </c>
      <c r="F30" s="9">
        <f>IFERROR(MIN(C30,D30)*E30/C30,0)</f>
        <v/>
      </c>
      <c r="G30" s="9" t="n"/>
    </row>
    <row r="31" ht="14.15" customHeight="1">
      <c r="A31" s="7" t="n">
        <v>16</v>
      </c>
      <c r="B31" s="8" t="inlineStr">
        <is>
          <t>Flat lock machine</t>
        </is>
      </c>
      <c r="C31" s="9" t="n">
        <v>1</v>
      </c>
      <c r="D31" s="9" t="n"/>
      <c r="E31" s="9" t="n">
        <v>9</v>
      </c>
      <c r="F31" s="9">
        <f>IFERROR(MIN(C31,D31)*E31/C31,0)</f>
        <v/>
      </c>
      <c r="G31" s="9" t="n"/>
    </row>
    <row r="32">
      <c r="A32" s="10" t="inlineStr">
        <is>
          <t>Sum</t>
        </is>
      </c>
      <c r="B32" s="11" t="n"/>
      <c r="C32" s="11" t="n"/>
      <c r="D32" s="12" t="n"/>
      <c r="E32" s="10">
        <f>SUM(E16:E31)</f>
        <v/>
      </c>
      <c r="F32" s="10">
        <f>SUM(F16:F31)</f>
        <v/>
      </c>
      <c r="G32" s="13" t="n"/>
    </row>
    <row r="33">
      <c r="A33" s="10" t="inlineStr">
        <is>
          <t>Score out of 100</t>
        </is>
      </c>
      <c r="B33" s="11" t="n"/>
      <c r="C33" s="11" t="n"/>
      <c r="D33" s="11" t="n"/>
      <c r="E33" s="12" t="n"/>
      <c r="F33" s="10">
        <f>F32/E32*100</f>
        <v/>
      </c>
      <c r="G33" s="13" t="n"/>
    </row>
    <row r="34" ht="9.75" customHeight="1"/>
    <row r="35">
      <c r="A35" s="10" t="inlineStr">
        <is>
          <t xml:space="preserve">Total achieved points out of 30  </t>
        </is>
      </c>
      <c r="B35" s="11" t="n"/>
      <c r="C35" s="11" t="n"/>
      <c r="D35" s="11" t="n"/>
      <c r="E35" s="12" t="n"/>
      <c r="F35" s="10">
        <f>F33*30/100</f>
        <v/>
      </c>
      <c r="G35" s="10" t="inlineStr">
        <is>
          <t>Points</t>
        </is>
      </c>
    </row>
  </sheetData>
  <mergeCells count="8">
    <mergeCell ref="A13:G13"/>
    <mergeCell ref="C7:G7"/>
    <mergeCell ref="A35:E35"/>
    <mergeCell ref="A1:G1"/>
    <mergeCell ref="A34:G34"/>
    <mergeCell ref="A33:E33"/>
    <mergeCell ref="C8:G8"/>
    <mergeCell ref="A32:D3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2026-08-17T07:23:46Z</dcterms:created>
  <dcterms:modified xmlns:dcterms="http://purl.org/dc/terms/" xmlns:xsi="http://www.w3.org/2001/XMLSchema-instance" xsi:type="dcterms:W3CDTF">2026-08-20T03:29:15Z</dcterms:modified>
</cp:coreProperties>
</file>
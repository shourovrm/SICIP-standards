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UI-UX Design"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UI/UX Design (IT Sector)</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UI/UX Design (IT Sector)</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UI/UX Design (IT Sector),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Wiring Boards/Trainer Board</t>
        </is>
      </c>
      <c r="C16" s="9" t="n">
        <v>1</v>
      </c>
      <c r="D16" s="9" t="n"/>
      <c r="E16" s="9" t="n">
        <v>5</v>
      </c>
      <c r="F16" s="9">
        <f>IFERROR(MIN(C16,D16)*E16/C16,0)</f>
        <v/>
      </c>
      <c r="G16" s="9" t="n"/>
    </row>
    <row r="17" ht="14.15" customHeight="1">
      <c r="A17" s="7" t="n">
        <v>2</v>
      </c>
      <c r="B17" s="8" t="inlineStr">
        <is>
          <t>Computers/Laptop: 
(Minimum Intel Core i5 processor, 8GB RAM (16GB preferred), 500GB SSD storage (1TB preferred), High-resolution monitors (24-inch minimum, with color accuracy).</t>
        </is>
      </c>
      <c r="C17" s="9" t="n">
        <v>25</v>
      </c>
      <c r="D17" s="9" t="n"/>
      <c r="E17" s="9" t="n">
        <v>9</v>
      </c>
      <c r="F17" s="9">
        <f>IFERROR(MIN(C17,D17)*E17/C17,0)</f>
        <v/>
      </c>
      <c r="G17" s="9" t="n"/>
    </row>
    <row r="18" ht="14.15" customHeight="1">
      <c r="A18" s="7" t="n">
        <v>3</v>
      </c>
      <c r="B18" s="8" t="inlineStr">
        <is>
          <t>Projector: 
High-resolution projector (HD or 4K) for instructor presentations, Large screen for the room to ensure visibility for all trainees.</t>
        </is>
      </c>
      <c r="C18" s="9" t="n">
        <v>1</v>
      </c>
      <c r="D18" s="9" t="n"/>
      <c r="E18" s="9" t="n">
        <v>8</v>
      </c>
      <c r="F18" s="9">
        <f>IFERROR(MIN(C18,D18)*E18/C18,0)</f>
        <v/>
      </c>
      <c r="G18" s="9" t="n"/>
    </row>
    <row r="19" ht="14.15" customHeight="1">
      <c r="A19" s="7" t="n">
        <v>4</v>
      </c>
      <c r="B19" s="8" t="inlineStr">
        <is>
          <t>UI/UX Design Tools: 
Adobe XD or Sketch (latest version), Figma (cloud-based for collaboration), InVision or Axure RP for prototyping.</t>
        </is>
      </c>
      <c r="C19" s="9" t="n">
        <v>3</v>
      </c>
      <c r="D19" s="9" t="n"/>
      <c r="E19" s="9" t="n">
        <v>10</v>
      </c>
      <c r="F19" s="9">
        <f>IFERROR(MIN(C19,D19)*E19/C19,0)</f>
        <v/>
      </c>
      <c r="G19" s="9" t="n"/>
    </row>
    <row r="20" ht="14.15" customHeight="1">
      <c r="A20" s="7" t="n">
        <v>5</v>
      </c>
      <c r="B20" s="8" t="inlineStr">
        <is>
          <t>Adobe Photoshop, Illustrator (latest version).</t>
        </is>
      </c>
      <c r="C20" s="9" t="n">
        <v>1</v>
      </c>
      <c r="D20" s="9" t="n"/>
      <c r="E20" s="9" t="n">
        <v>9</v>
      </c>
      <c r="F20" s="9">
        <f>IFERROR(MIN(C20,D20)*E20/C20,0)</f>
        <v/>
      </c>
      <c r="G20" s="9" t="n"/>
    </row>
    <row r="21" ht="14.15" customHeight="1">
      <c r="A21" s="7" t="n">
        <v>6</v>
      </c>
      <c r="B21" s="8" t="inlineStr">
        <is>
          <t>Wireframing Tools: 
Balsamiq or similar.</t>
        </is>
      </c>
      <c r="C21" s="9" t="n">
        <v>1</v>
      </c>
      <c r="D21" s="9" t="n"/>
      <c r="E21" s="9" t="n">
        <v>6</v>
      </c>
      <c r="F21" s="9">
        <f>IFERROR(MIN(C21,D21)*E21/C21,0)</f>
        <v/>
      </c>
      <c r="G21" s="9" t="n"/>
    </row>
    <row r="22" ht="14.15" customHeight="1">
      <c r="A22" s="7" t="n">
        <v>7</v>
      </c>
      <c r="B22" s="8" t="inlineStr">
        <is>
          <t>Web Development Tools (optional):
Sublime Text, Visual Studio Code for basic front-end coding (HTML, CSS, JavaScript).</t>
        </is>
      </c>
      <c r="C22" s="9" t="n">
        <v>1</v>
      </c>
      <c r="D22" s="9" t="n"/>
      <c r="E22" s="9" t="n">
        <v>6</v>
      </c>
      <c r="F22" s="9">
        <f>IFERROR(MIN(C22,D22)*E22/C22,0)</f>
        <v/>
      </c>
      <c r="G22" s="9" t="n"/>
    </row>
    <row r="23">
      <c r="A23" s="10" t="inlineStr">
        <is>
          <t>Sum</t>
        </is>
      </c>
      <c r="B23" s="11" t="n"/>
      <c r="C23" s="11" t="n"/>
      <c r="D23" s="12" t="n"/>
      <c r="E23" s="10">
        <f>SUM(E16:E22)</f>
        <v/>
      </c>
      <c r="F23" s="10">
        <f>SUM(F16:F22)</f>
        <v/>
      </c>
      <c r="G23" s="13" t="n"/>
    </row>
    <row r="24">
      <c r="A24" s="10" t="inlineStr">
        <is>
          <t>Score out of 100</t>
        </is>
      </c>
      <c r="B24" s="11" t="n"/>
      <c r="C24" s="11" t="n"/>
      <c r="D24" s="11" t="n"/>
      <c r="E24" s="12" t="n"/>
      <c r="F24" s="10">
        <f>F23/E23*100</f>
        <v/>
      </c>
      <c r="G24" s="13" t="n"/>
    </row>
    <row r="25" ht="9.75" customHeight="1"/>
    <row r="26">
      <c r="A26" s="10" t="inlineStr">
        <is>
          <t xml:space="preserve">Total achieved points out of 30  </t>
        </is>
      </c>
      <c r="B26" s="11" t="n"/>
      <c r="C26" s="11" t="n"/>
      <c r="D26" s="11" t="n"/>
      <c r="E26" s="12" t="n"/>
      <c r="F26" s="10">
        <f>F24*30/100</f>
        <v/>
      </c>
      <c r="G26" s="10" t="inlineStr">
        <is>
          <t>Points</t>
        </is>
      </c>
    </row>
  </sheetData>
  <mergeCells count="8">
    <mergeCell ref="A13:G13"/>
    <mergeCell ref="A23:D23"/>
    <mergeCell ref="C7:G7"/>
    <mergeCell ref="A1:G1"/>
    <mergeCell ref="A26:E26"/>
    <mergeCell ref="A24:E24"/>
    <mergeCell ref="A25:G25"/>
    <mergeCell ref="C8:G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2026-08-17T07:23:46Z</dcterms:created>
  <dcterms:modified xmlns:dcterms="http://purl.org/dc/terms/" xmlns:xsi="http://www.w3.org/2001/XMLSchema-instance" xsi:type="dcterms:W3CDTF">2026-08-20T03:29:13Z</dcterms:modified>
</cp:coreProperties>
</file>
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Compliance Sustainability"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Compliance and Sustainability Issues</t>
        </is>
      </c>
    </row>
    <row r="4" ht="26.25" customHeight="1" s="20">
      <c r="A4" s="22" t="inlineStr">
        <is>
          <t>Number of Trainees:</t>
        </is>
      </c>
      <c r="B4" s="22" t="n">
        <v>25</v>
      </c>
    </row>
    <row r="6" ht="15" customHeight="1" s="20">
      <c r="A6" s="23" t="inlineStr">
        <is>
          <t>Course-wise Training Space (Theoretical Classroom, Workshop/ Lab/ Classroom cum Workshop)</t>
        </is>
      </c>
    </row>
    <row r="7" ht="15" customHeight="1" s="20">
      <c r="B7" s="22" t="inlineStr">
        <is>
          <t>Course Name</t>
        </is>
      </c>
      <c r="C7" s="22" t="inlineStr">
        <is>
          <t>SICIP required space for 25 trainees</t>
        </is>
      </c>
      <c r="D7" s="24" t="n"/>
      <c r="E7" s="24" t="n"/>
      <c r="F7" s="24" t="n"/>
      <c r="G7" s="25" t="n"/>
    </row>
    <row r="8" ht="51.75" customHeight="1" s="20">
      <c r="B8" s="22" t="inlineStr">
        <is>
          <t>Compliance and Sustainability Issues</t>
        </is>
      </c>
      <c r="C8" s="26" t="inlineStr">
        <is>
          <t>Classroom – 350 sft (33 sqm)
Workshop/ lab – 800 sft (75 sqm) OR
Classroom cum workshop – 1000 sft (93 sqm)</t>
        </is>
      </c>
      <c r="D8" s="24" t="n"/>
      <c r="E8" s="24" t="n"/>
      <c r="F8" s="24" t="n"/>
      <c r="G8" s="25"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Compliance and Sustainability Issues,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Computer/Laptops</t>
        </is>
      </c>
      <c r="C16" s="31" t="n">
        <v>1</v>
      </c>
      <c r="D16" s="31" t="n"/>
      <c r="E16" s="31" t="n">
        <v>5</v>
      </c>
      <c r="F16" s="31">
        <f>IFERROR(MIN(C16,D16)*E16/C16,0)</f>
        <v/>
      </c>
      <c r="G16" s="31" t="n"/>
    </row>
    <row r="17" ht="13.5" customHeight="1" s="20">
      <c r="A17" s="29" t="n">
        <v>2</v>
      </c>
      <c r="B17" s="30" t="inlineStr">
        <is>
          <t>Multimedia projector &amp; screen</t>
        </is>
      </c>
      <c r="C17" s="31" t="n">
        <v>1</v>
      </c>
      <c r="D17" s="31" t="n"/>
      <c r="E17" s="31" t="n">
        <v>5</v>
      </c>
      <c r="F17" s="31">
        <f>IFERROR(MIN(C17,D17)*E17/C17,0)</f>
        <v/>
      </c>
      <c r="G17" s="31" t="n"/>
    </row>
    <row r="18" ht="13.5" customHeight="1" s="20">
      <c r="A18" s="29" t="n">
        <v>3</v>
      </c>
      <c r="B18" s="30" t="inlineStr">
        <is>
          <t>Scanner</t>
        </is>
      </c>
      <c r="C18" s="31" t="n">
        <v>1</v>
      </c>
      <c r="D18" s="31" t="n"/>
      <c r="E18" s="31" t="n">
        <v>5</v>
      </c>
      <c r="F18" s="31">
        <f>IFERROR(MIN(C18,D18)*E18/C18,0)</f>
        <v/>
      </c>
      <c r="G18" s="31" t="n"/>
    </row>
    <row r="19" ht="13.5" customHeight="1" s="20">
      <c r="A19" s="29" t="n">
        <v>4</v>
      </c>
      <c r="B19" s="30" t="inlineStr">
        <is>
          <t>Printer</t>
        </is>
      </c>
      <c r="C19" s="31" t="n">
        <v>1</v>
      </c>
      <c r="D19" s="31" t="n"/>
      <c r="E19" s="31" t="n">
        <v>5</v>
      </c>
      <c r="F19" s="31">
        <f>IFERROR(MIN(C19,D19)*E19/C19,0)</f>
        <v/>
      </c>
      <c r="G19" s="31" t="n"/>
    </row>
    <row r="20" ht="13.5" customHeight="1" s="20">
      <c r="A20" s="29" t="n">
        <v>5</v>
      </c>
      <c r="B20" s="30" t="inlineStr">
        <is>
          <t>Internet-enabled devices (router/modem)</t>
        </is>
      </c>
      <c r="C20" s="31" t="n">
        <v>1</v>
      </c>
      <c r="D20" s="31" t="n"/>
      <c r="E20" s="31" t="n">
        <v>5</v>
      </c>
      <c r="F20" s="31">
        <f>IFERROR(MIN(C20,D20)*E20/C20,0)</f>
        <v/>
      </c>
      <c r="G20" s="31" t="n"/>
    </row>
    <row r="21" ht="13.5" customHeight="1" s="20">
      <c r="A21" s="29" t="n">
        <v>6</v>
      </c>
      <c r="B21" s="30" t="inlineStr">
        <is>
          <t>First Aid Box</t>
        </is>
      </c>
      <c r="C21" s="31" t="n">
        <v>5</v>
      </c>
      <c r="D21" s="31" t="n"/>
      <c r="E21" s="31" t="n">
        <v>4</v>
      </c>
      <c r="F21" s="31">
        <f>IFERROR(MIN(C21,D21)*E21/C21,0)</f>
        <v/>
      </c>
      <c r="G21" s="31" t="n"/>
    </row>
    <row r="22" ht="13.5" customHeight="1" s="20">
      <c r="A22" s="29" t="n">
        <v>7</v>
      </c>
      <c r="B22" s="30" t="inlineStr">
        <is>
          <t>Digital Lux meter</t>
        </is>
      </c>
      <c r="C22" s="31" t="n">
        <v>5</v>
      </c>
      <c r="D22" s="31" t="n"/>
      <c r="E22" s="31" t="n">
        <v>6</v>
      </c>
      <c r="F22" s="31">
        <f>IFERROR(MIN(C22,D22)*E22/C22,0)</f>
        <v/>
      </c>
      <c r="G22" s="31" t="n"/>
    </row>
    <row r="23" ht="13.5" customHeight="1" s="20">
      <c r="A23" s="29" t="n">
        <v>8</v>
      </c>
      <c r="B23" s="30" t="inlineStr">
        <is>
          <t>Noise level meter</t>
        </is>
      </c>
      <c r="C23" s="31" t="n">
        <v>5</v>
      </c>
      <c r="D23" s="31" t="n"/>
      <c r="E23" s="31" t="n">
        <v>6</v>
      </c>
      <c r="F23" s="31">
        <f>IFERROR(MIN(C23,D23)*E23/C23,0)</f>
        <v/>
      </c>
      <c r="G23" s="31" t="n"/>
    </row>
    <row r="24" ht="13.5" customHeight="1" s="20">
      <c r="A24" s="29" t="n">
        <v>9</v>
      </c>
      <c r="B24" s="30" t="inlineStr">
        <is>
          <t>Fire Extinguisher (water, foam, CO2, powder)</t>
        </is>
      </c>
      <c r="C24" s="31" t="n">
        <v>5</v>
      </c>
      <c r="D24" s="31" t="n"/>
      <c r="E24" s="31" t="n">
        <v>5</v>
      </c>
      <c r="F24" s="31">
        <f>IFERROR(MIN(C24,D24)*E24/C24,0)</f>
        <v/>
      </c>
      <c r="G24" s="31" t="n"/>
    </row>
    <row r="25" ht="13.5" customHeight="1" s="20">
      <c r="A25" s="29" t="n">
        <v>10</v>
      </c>
      <c r="B25" s="30" t="inlineStr">
        <is>
          <t>Smoke or heat detector</t>
        </is>
      </c>
      <c r="C25" s="31" t="n">
        <v>5</v>
      </c>
      <c r="D25" s="31" t="n"/>
      <c r="E25" s="31" t="n">
        <v>5</v>
      </c>
      <c r="F25" s="31">
        <f>IFERROR(MIN(C25,D25)*E25/C25,0)</f>
        <v/>
      </c>
      <c r="G25" s="31" t="n"/>
    </row>
    <row r="26" ht="13.5" customHeight="1" s="20">
      <c r="A26" s="29" t="n">
        <v>11</v>
      </c>
      <c r="B26" s="30" t="inlineStr">
        <is>
          <t>Rubbermaid Recycling Bins</t>
        </is>
      </c>
      <c r="C26" s="31" t="n">
        <v>5</v>
      </c>
      <c r="D26" s="31" t="n"/>
      <c r="E26" s="31" t="n">
        <v>3</v>
      </c>
      <c r="F26" s="31">
        <f>IFERROR(MIN(C26,D26)*E26/C26,0)</f>
        <v/>
      </c>
      <c r="G26" s="31" t="n"/>
    </row>
    <row r="27" ht="13.5" customHeight="1" s="20">
      <c r="A27" s="29" t="n">
        <v>12</v>
      </c>
      <c r="B27" s="30" t="inlineStr">
        <is>
          <t>Water Testing Kits</t>
        </is>
      </c>
      <c r="C27" s="31" t="n">
        <v>5</v>
      </c>
      <c r="D27" s="31" t="n"/>
      <c r="E27" s="31" t="n">
        <v>6</v>
      </c>
      <c r="F27" s="31">
        <f>IFERROR(MIN(C27,D27)*E27/C27,0)</f>
        <v/>
      </c>
      <c r="G27" s="31" t="n"/>
    </row>
    <row r="28" ht="13.5" customHeight="1" s="20">
      <c r="A28" s="29" t="n">
        <v>13</v>
      </c>
      <c r="B28" s="30" t="inlineStr">
        <is>
          <t>Air Quality Testing Kits</t>
        </is>
      </c>
      <c r="C28" s="31" t="n">
        <v>5</v>
      </c>
      <c r="D28" s="31" t="n"/>
      <c r="E28" s="31" t="n">
        <v>6</v>
      </c>
      <c r="F28" s="31">
        <f>IFERROR(MIN(C28,D28)*E28/C28,0)</f>
        <v/>
      </c>
      <c r="G28" s="31" t="n"/>
    </row>
    <row r="29" ht="15" customHeight="1" s="20">
      <c r="A29" s="32" t="inlineStr">
        <is>
          <t>Sum</t>
        </is>
      </c>
      <c r="B29" s="24" t="n"/>
      <c r="C29" s="24" t="n"/>
      <c r="D29" s="25" t="n"/>
      <c r="E29" s="32">
        <f>SUM(E16:E28)</f>
        <v/>
      </c>
      <c r="F29" s="32">
        <f>SUM(F16:F28)</f>
        <v/>
      </c>
      <c r="G29" s="33" t="n"/>
    </row>
    <row r="30" ht="15" customHeight="1" s="20">
      <c r="A30" s="32" t="inlineStr">
        <is>
          <t>Score out of 100</t>
        </is>
      </c>
      <c r="B30" s="24" t="n"/>
      <c r="C30" s="24" t="n"/>
      <c r="D30" s="24" t="n"/>
      <c r="E30" s="25" t="n"/>
      <c r="F30" s="32">
        <f>F29/E29*100</f>
        <v/>
      </c>
      <c r="G30" s="33" t="n"/>
    </row>
    <row r="31" ht="9.75" customHeight="1" s="20">
      <c r="A31" s="19" t="n"/>
    </row>
    <row r="32" ht="15" customHeight="1" s="20">
      <c r="A32" s="32" t="inlineStr">
        <is>
          <t xml:space="preserve">Total achieved points out of 30  </t>
        </is>
      </c>
      <c r="B32" s="24" t="n"/>
      <c r="C32" s="24" t="n"/>
      <c r="D32" s="24" t="n"/>
      <c r="E32" s="25" t="n"/>
      <c r="F32" s="32">
        <f>F30*30/100</f>
        <v/>
      </c>
      <c r="G32" s="32" t="inlineStr">
        <is>
          <t>Points</t>
        </is>
      </c>
    </row>
  </sheetData>
  <mergeCells count="8">
    <mergeCell ref="A30:E30"/>
    <mergeCell ref="A13:G13"/>
    <mergeCell ref="C7:G7"/>
    <mergeCell ref="A1:G1"/>
    <mergeCell ref="A31:G31"/>
    <mergeCell ref="A29:D29"/>
    <mergeCell ref="A32:E32"/>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2026-08-20T03:29:15Z</dcterms:modified>
  <cp:revision>2</cp:revision>
</cp:coreProperties>
</file>
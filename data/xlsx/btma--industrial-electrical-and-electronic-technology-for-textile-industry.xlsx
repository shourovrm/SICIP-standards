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 &amp; Electronic Tech"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Electrical and Electronic Technology for Textile Industry</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Industrial Electrical and Electronic Technology for Textile Industry</t>
        </is>
      </c>
      <c r="C8" s="4" t="inlineStr">
        <is>
          <t>Classroom – 400 sft (37 sqm)
Workshop/Lab – 1,250 sft (116 sqm) OR
Classroom cum Workshop – 1,550 sft (144 sqm)</t>
        </is>
      </c>
      <c r="D8" s="11" t="n"/>
      <c r="E8" s="11" t="n"/>
      <c r="F8" s="11" t="n"/>
      <c r="G8" s="12" t="n"/>
    </row>
    <row r="11">
      <c r="A11" s="3" t="inlineStr">
        <is>
          <t>Major Training Equipment and Training Facilities</t>
        </is>
      </c>
    </row>
    <row r="13" ht="333.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Electrical and Electronic Technology for Textile Industry,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is encouraged to establish a partnership with at least one textile mill for industry visits and on-machine practical sessions.
Preconditions and Utility Requirements: Three-phase 400 V utility supply with adequate capacity (minimum 30 kVA) with an approved metering system; Adequate illumination and natural/mechanical ventilation; lab area kept free of lint and dust; Separate clean earth for PLC/electronic trainers and proper equipment earthing throughout the workshop; Emergency stop/isolation switch, fire extinguishers and first aid kit in the workshop; Internet connectivity for software updates, video-based learning and manufacturer resources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PLC, HMI, drive and circuit simulation software</t>
        </is>
      </c>
      <c r="C16" s="9" t="n">
        <v>10</v>
      </c>
      <c r="D16" s="9" t="n">
        <v>0</v>
      </c>
      <c r="E16" s="9" t="n">
        <v>5</v>
      </c>
      <c r="F16" s="9">
        <f>IFERROR(MIN(C16,D16)*E16/C16,0)</f>
        <v/>
      </c>
      <c r="G16" s="9" t="n"/>
    </row>
    <row r="17" ht="14.15" customHeight="1">
      <c r="A17" s="7" t="n">
        <v>2</v>
      </c>
      <c r="B17" s="8" t="inlineStr">
        <is>
          <t>Multimedia projector with projection screen</t>
        </is>
      </c>
      <c r="C17" s="9" t="n">
        <v>1</v>
      </c>
      <c r="D17" s="9" t="n">
        <v>0</v>
      </c>
      <c r="E17" s="9" t="n">
        <v>5</v>
      </c>
      <c r="F17" s="9">
        <f>IFERROR(MIN(C17,D17)*E17/C17,0)</f>
        <v/>
      </c>
      <c r="G17" s="9" t="n"/>
    </row>
    <row r="18" ht="14.15" customHeight="1">
      <c r="A18" s="7" t="n">
        <v>3</v>
      </c>
      <c r="B18" s="8" t="inlineStr">
        <is>
          <t>Internet connectivity for video-based and flipped-classroom delivery</t>
        </is>
      </c>
      <c r="C18" s="9" t="n">
        <v>1</v>
      </c>
      <c r="D18" s="9" t="n">
        <v>0</v>
      </c>
      <c r="E18" s="9" t="n">
        <v>5</v>
      </c>
      <c r="F18" s="9">
        <f>IFERROR(MIN(C18,D18)*E18/C18,0)</f>
        <v/>
      </c>
      <c r="G18" s="9" t="inlineStr">
        <is>
          <t>01 line</t>
        </is>
      </c>
    </row>
    <row r="19" ht="14.15" customHeight="1">
      <c r="A19" s="7" t="n">
        <v>4</v>
      </c>
      <c r="B19" s="8" t="inlineStr">
        <is>
          <t>Whiteboard with accessories</t>
        </is>
      </c>
      <c r="C19" s="9" t="n">
        <v>1</v>
      </c>
      <c r="D19" s="9" t="n">
        <v>0</v>
      </c>
      <c r="E19" s="9" t="n">
        <v>4</v>
      </c>
      <c r="F19" s="9">
        <f>IFERROR(MIN(C19,D19)*E19/C19,0)</f>
        <v/>
      </c>
      <c r="G19" s="9" t="n"/>
    </row>
    <row r="20" ht="14.15" customHeight="1">
      <c r="A20" s="7" t="n">
        <v>5</v>
      </c>
      <c r="B20" s="8" t="inlineStr">
        <is>
          <t>Training seating set and instructor desk</t>
        </is>
      </c>
      <c r="C20" s="9" t="n">
        <v>25</v>
      </c>
      <c r="D20" s="9" t="n">
        <v>0</v>
      </c>
      <c r="E20" s="9" t="n">
        <v>4</v>
      </c>
      <c r="F20" s="9">
        <f>IFERROR(MIN(C20,D20)*E20/C20,0)</f>
        <v/>
      </c>
      <c r="G20" s="9" t="inlineStr">
        <is>
          <t>25+01</t>
        </is>
      </c>
    </row>
    <row r="21" ht="14.15" customHeight="1">
      <c r="A21" s="7" t="n">
        <v>6</v>
      </c>
      <c r="B21" s="8" t="inlineStr">
        <is>
          <t>Charts/models: electrical symbols, single-line diagram, textile process flow, motor control circuits, safety signs, electric-shock treatment</t>
        </is>
      </c>
      <c r="C21" s="9" t="n">
        <v>1</v>
      </c>
      <c r="D21" s="9" t="n">
        <v>0</v>
      </c>
      <c r="E21" s="9" t="n">
        <v>5</v>
      </c>
      <c r="F21" s="9">
        <f>IFERROR(MIN(C21,D21)*E21/C21,0)</f>
        <v/>
      </c>
      <c r="G21" s="9" t="inlineStr">
        <is>
          <t>01 set</t>
        </is>
      </c>
    </row>
    <row r="22" ht="14.15" customHeight="1">
      <c r="A22" s="7" t="n">
        <v>7</v>
      </c>
      <c r="B22" s="8" t="inlineStr">
        <is>
          <t>Diesel generator set, 3-phase 400/230 V, ≥10 kVA with AMF/ATS panel</t>
        </is>
      </c>
      <c r="C22" s="9" t="n">
        <v>1</v>
      </c>
      <c r="D22" s="9" t="n">
        <v>0</v>
      </c>
      <c r="E22" s="9" t="n">
        <v>8</v>
      </c>
      <c r="F22" s="9">
        <f>IFERROR(MIN(C22,D22)*E22/C22,0)</f>
        <v/>
      </c>
      <c r="G22" s="9" t="n"/>
    </row>
    <row r="23" ht="14.15" customHeight="1">
      <c r="A23" s="7" t="n">
        <v>8</v>
      </c>
      <c r="B23" s="8" t="inlineStr">
        <is>
          <t>Main LT panel 3-phase 400 V (incoming MCCB/ACB, busbar, CTs, voltmeter/ammeter/energy meter, outgoing MCCBs/MCBs, indicator lamps)</t>
        </is>
      </c>
      <c r="C23" s="9" t="n">
        <v>1</v>
      </c>
      <c r="D23" s="9" t="n">
        <v>0</v>
      </c>
      <c r="E23" s="9" t="n">
        <v>9</v>
      </c>
      <c r="F23" s="9">
        <f>IFERROR(MIN(C23,D23)*E23/C23,0)</f>
        <v/>
      </c>
      <c r="G23" s="9" t="n"/>
    </row>
    <row r="24" ht="14.15" customHeight="1">
      <c r="A24" s="7" t="n">
        <v>9</v>
      </c>
      <c r="B24" s="8" t="inlineStr">
        <is>
          <t>Motor control centre (MCC) demonstration panel with feeders</t>
        </is>
      </c>
      <c r="C24" s="9" t="n">
        <v>1</v>
      </c>
      <c r="D24" s="9" t="n">
        <v>0</v>
      </c>
      <c r="E24" s="9" t="n">
        <v>8</v>
      </c>
      <c r="F24" s="9">
        <f>IFERROR(MIN(C24,D24)*E24/C24,0)</f>
        <v/>
      </c>
      <c r="G24" s="9" t="n"/>
    </row>
    <row r="25" ht="14.15" customHeight="1">
      <c r="A25" s="7" t="n">
        <v>10</v>
      </c>
      <c r="B25" s="8" t="inlineStr">
        <is>
          <t>Sub-distribution boards (with MCB, MCCB, RCCB/ELCB, SPD)</t>
        </is>
      </c>
      <c r="C25" s="9" t="n">
        <v>5</v>
      </c>
      <c r="D25" s="9" t="n">
        <v>0</v>
      </c>
      <c r="E25" s="9" t="n">
        <v>7</v>
      </c>
      <c r="F25" s="9">
        <f>IFERROR(MIN(C25,D25)*E25/C25,0)</f>
        <v/>
      </c>
      <c r="G25" s="9" t="n"/>
    </row>
    <row r="26" ht="14.15" customHeight="1">
      <c r="A26" s="7" t="n">
        <v>11</v>
      </c>
      <c r="B26" s="8" t="inlineStr">
        <is>
          <t>Transformer bank, 3 × single-phase 2–5 kVA, 400/230 V</t>
        </is>
      </c>
      <c r="C26" s="9" t="n">
        <v>1</v>
      </c>
      <c r="D26" s="9" t="n">
        <v>0</v>
      </c>
      <c r="E26" s="9" t="n">
        <v>8</v>
      </c>
      <c r="F26" s="9">
        <f>IFERROR(MIN(C26,D26)*E26/C26,0)</f>
        <v/>
      </c>
      <c r="G26" s="9" t="inlineStr">
        <is>
          <t>01 set</t>
        </is>
      </c>
    </row>
    <row r="27" ht="14.15" customHeight="1">
      <c r="A27" s="7" t="n">
        <v>12</v>
      </c>
      <c r="B27" s="8" t="inlineStr">
        <is>
          <t>Automatic power factor correction (APFC) panel with capacitor bank ≥10 kVAr and PF controller</t>
        </is>
      </c>
      <c r="C27" s="9" t="n">
        <v>1</v>
      </c>
      <c r="D27" s="9" t="n">
        <v>0</v>
      </c>
      <c r="E27" s="9" t="n">
        <v>8</v>
      </c>
      <c r="F27" s="9">
        <f>IFERROR(MIN(C27,D27)*E27/C27,0)</f>
        <v/>
      </c>
      <c r="G27" s="9" t="n"/>
    </row>
    <row r="28" ht="14.15" customHeight="1">
      <c r="A28" s="7" t="n">
        <v>13</v>
      </c>
      <c r="B28" s="8" t="inlineStr">
        <is>
          <t>3-phase energy meter (direct and CT-operated) and single-phase energy meter</t>
        </is>
      </c>
      <c r="C28" s="9" t="n">
        <v>2</v>
      </c>
      <c r="D28" s="9" t="n">
        <v>0</v>
      </c>
      <c r="E28" s="9" t="n">
        <v>7</v>
      </c>
      <c r="F28" s="9">
        <f>IFERROR(MIN(C28,D28)*E28/C28,0)</f>
        <v/>
      </c>
      <c r="G28" s="9" t="inlineStr">
        <is>
          <t>02 + 02</t>
        </is>
      </c>
    </row>
    <row r="29" ht="14.15" customHeight="1">
      <c r="A29" s="7" t="n">
        <v>14</v>
      </c>
      <c r="B29" s="8" t="inlineStr">
        <is>
          <t>Load bank: resistive/inductive, 3-phase, ~5 kW</t>
        </is>
      </c>
      <c r="C29" s="9" t="n">
        <v>2</v>
      </c>
      <c r="D29" s="9" t="n">
        <v>0</v>
      </c>
      <c r="E29" s="9" t="n">
        <v>7</v>
      </c>
      <c r="F29" s="9">
        <f>IFERROR(MIN(C29,D29)*E29/C29,0)</f>
        <v/>
      </c>
      <c r="G29" s="9" t="n"/>
    </row>
    <row r="30" ht="14.15" customHeight="1">
      <c r="A30" s="7" t="n">
        <v>15</v>
      </c>
      <c r="B30" s="8" t="inlineStr">
        <is>
          <t>Battery bank 12 V/24 V ≥50 Ah with charger and battery bench</t>
        </is>
      </c>
      <c r="C30" s="9" t="n">
        <v>1</v>
      </c>
      <c r="D30" s="9" t="n">
        <v>0</v>
      </c>
      <c r="E30" s="9" t="n">
        <v>6</v>
      </c>
      <c r="F30" s="9">
        <f>IFERROR(MIN(C30,D30)*E30/C30,0)</f>
        <v/>
      </c>
      <c r="G30" s="9" t="inlineStr">
        <is>
          <t>01 set</t>
        </is>
      </c>
    </row>
    <row r="31" ht="14.15" customHeight="1">
      <c r="A31" s="7" t="n">
        <v>16</v>
      </c>
      <c r="B31" s="8" t="inlineStr">
        <is>
          <t>Busbar trunking system with tap-off boxes (demonstration length)</t>
        </is>
      </c>
      <c r="C31" s="9" t="n">
        <v>1</v>
      </c>
      <c r="D31" s="9" t="n">
        <v>0</v>
      </c>
      <c r="E31" s="9" t="n">
        <v>6</v>
      </c>
      <c r="F31" s="9">
        <f>IFERROR(MIN(C31,D31)*E31/C31,0)</f>
        <v/>
      </c>
      <c r="G31" s="9" t="inlineStr">
        <is>
          <t>01 set</t>
        </is>
      </c>
    </row>
    <row r="32" ht="14.15" customHeight="1">
      <c r="A32" s="7" t="n">
        <v>17</v>
      </c>
      <c r="B32" s="8" t="inlineStr">
        <is>
          <t>Cable tray (perforated and ladder) with supports and accessories</t>
        </is>
      </c>
      <c r="C32" s="9" t="n">
        <v>2</v>
      </c>
      <c r="D32" s="9" t="n">
        <v>0</v>
      </c>
      <c r="E32" s="9" t="n">
        <v>5</v>
      </c>
      <c r="F32" s="9">
        <f>IFERROR(MIN(C32,D32)*E32/C32,0)</f>
        <v/>
      </c>
      <c r="G32" s="9" t="inlineStr">
        <is>
          <t>02 sets</t>
        </is>
      </c>
    </row>
    <row r="33" ht="14.15" customHeight="1">
      <c r="A33" s="7" t="n">
        <v>18</v>
      </c>
      <c r="B33" s="8" t="inlineStr">
        <is>
          <t>Earthing installation training set (rod, plate/chemical electrode, earth pit with chamber, accessories)</t>
        </is>
      </c>
      <c r="C33" s="9" t="n">
        <v>2</v>
      </c>
      <c r="D33" s="9" t="n">
        <v>0</v>
      </c>
      <c r="E33" s="9" t="n">
        <v>7</v>
      </c>
      <c r="F33" s="9">
        <f>IFERROR(MIN(C33,D33)*E33/C33,0)</f>
        <v/>
      </c>
      <c r="G33" s="9" t="inlineStr">
        <is>
          <t>02 sets</t>
        </is>
      </c>
    </row>
    <row r="34" ht="14.15" customHeight="1">
      <c r="A34" s="7" t="n">
        <v>19</v>
      </c>
      <c r="B34" s="8" t="inlineStr">
        <is>
          <t>Lightning protection and surge protection demonstration set</t>
        </is>
      </c>
      <c r="C34" s="9" t="n">
        <v>1</v>
      </c>
      <c r="D34" s="9" t="n">
        <v>0</v>
      </c>
      <c r="E34" s="9" t="n">
        <v>6</v>
      </c>
      <c r="F34" s="9">
        <f>IFERROR(MIN(C34,D34)*E34/C34,0)</f>
        <v/>
      </c>
      <c r="G34" s="9" t="inlineStr">
        <is>
          <t>01 set</t>
        </is>
      </c>
    </row>
    <row r="35" ht="14.15" customHeight="1">
      <c r="A35" s="7" t="n">
        <v>20</v>
      </c>
      <c r="B35" s="8" t="inlineStr">
        <is>
          <t>3-phase squirrel cage induction motor, 3–5 HP, 400 V (IE3, TEFC)</t>
        </is>
      </c>
      <c r="C35" s="9" t="n">
        <v>6</v>
      </c>
      <c r="D35" s="9" t="n">
        <v>0</v>
      </c>
      <c r="E35" s="9" t="n">
        <v>10</v>
      </c>
      <c r="F35" s="9">
        <f>IFERROR(MIN(C35,D35)*E35/C35,0)</f>
        <v/>
      </c>
      <c r="G35" s="9" t="n"/>
    </row>
    <row r="36" ht="14.15" customHeight="1">
      <c r="A36" s="7" t="n">
        <v>21</v>
      </c>
      <c r="B36" s="8" t="inlineStr">
        <is>
          <t>Single-phase motor 0.5–1 HP</t>
        </is>
      </c>
      <c r="C36" s="9" t="n">
        <v>4</v>
      </c>
      <c r="D36" s="9" t="n">
        <v>0</v>
      </c>
      <c r="E36" s="9" t="n">
        <v>8</v>
      </c>
      <c r="F36" s="9">
        <f>IFERROR(MIN(C36,D36)*E36/C36,0)</f>
        <v/>
      </c>
      <c r="G36" s="9" t="n"/>
    </row>
    <row r="37" ht="14.15" customHeight="1">
      <c r="A37" s="7" t="n">
        <v>22</v>
      </c>
      <c r="B37" s="8" t="inlineStr">
        <is>
          <t>DC motor with controller (demonstration)</t>
        </is>
      </c>
      <c r="C37" s="9" t="n">
        <v>1</v>
      </c>
      <c r="D37" s="9" t="n">
        <v>0</v>
      </c>
      <c r="E37" s="9" t="n">
        <v>7</v>
      </c>
      <c r="F37" s="9">
        <f>IFERROR(MIN(C37,D37)*E37/C37,0)</f>
        <v/>
      </c>
      <c r="G37" s="9" t="n"/>
    </row>
    <row r="38" ht="14.15" customHeight="1">
      <c r="A38" s="7" t="n">
        <v>23</v>
      </c>
      <c r="B38" s="8" t="inlineStr">
        <is>
          <t>Servo motor with servo drive (demonstration)</t>
        </is>
      </c>
      <c r="C38" s="9" t="n">
        <v>1</v>
      </c>
      <c r="D38" s="9" t="n">
        <v>0</v>
      </c>
      <c r="E38" s="9" t="n">
        <v>8</v>
      </c>
      <c r="F38" s="9">
        <f>IFERROR(MIN(C38,D38)*E38/C38,0)</f>
        <v/>
      </c>
      <c r="G38" s="9" t="inlineStr">
        <is>
          <t>01 set</t>
        </is>
      </c>
    </row>
    <row r="39" ht="14.15" customHeight="1">
      <c r="A39" s="7" t="n">
        <v>24</v>
      </c>
      <c r="B39" s="8" t="inlineStr">
        <is>
          <t>Motor starter panels: DOL ×2, star-delta ×2, forward-reverse ×2 (contactor, overload relay, timer, push buttons, selector switch, indicator lamps)</t>
        </is>
      </c>
      <c r="C39" s="9" t="n">
        <v>6</v>
      </c>
      <c r="D39" s="9" t="n">
        <v>0</v>
      </c>
      <c r="E39" s="9" t="n">
        <v>10</v>
      </c>
      <c r="F39" s="9">
        <f>IFERROR(MIN(C39,D39)*E39/C39,0)</f>
        <v/>
      </c>
      <c r="G39" s="9" t="n"/>
    </row>
    <row r="40" ht="14.15" customHeight="1">
      <c r="A40" s="7" t="n">
        <v>25</v>
      </c>
      <c r="B40" s="8" t="inlineStr">
        <is>
          <t>Magnetic contactors with thermal overload relay (spare/for practice)</t>
        </is>
      </c>
      <c r="C40" s="9" t="n">
        <v>25</v>
      </c>
      <c r="D40" s="9" t="n">
        <v>0</v>
      </c>
      <c r="E40" s="9" t="n">
        <v>7</v>
      </c>
      <c r="F40" s="9">
        <f>IFERROR(MIN(C40,D40)*E40/C40,0)</f>
        <v/>
      </c>
      <c r="G40" s="9" t="n"/>
    </row>
    <row r="41" ht="14.15" customHeight="1">
      <c r="A41" s="7" t="n">
        <v>26</v>
      </c>
      <c r="B41" s="8" t="inlineStr">
        <is>
          <t>Motor protection circuit breakers (MPCB) and phase failure relays</t>
        </is>
      </c>
      <c r="C41" s="9" t="n">
        <v>6</v>
      </c>
      <c r="D41" s="9" t="n">
        <v>0</v>
      </c>
      <c r="E41" s="9" t="n">
        <v>8</v>
      </c>
      <c r="F41" s="9">
        <f>IFERROR(MIN(C41,D41)*E41/C41,0)</f>
        <v/>
      </c>
      <c r="G41" s="9" t="inlineStr">
        <is>
          <t>06 + 04</t>
        </is>
      </c>
    </row>
    <row r="42" ht="14.15" customHeight="1">
      <c r="A42" s="7" t="n">
        <v>27</v>
      </c>
      <c r="B42" s="8" t="inlineStr">
        <is>
          <t>Variable frequency drive (VFD) 0.75–5.5 kW with keypad, manual and PC software</t>
        </is>
      </c>
      <c r="C42" s="9" t="n">
        <v>6</v>
      </c>
      <c r="D42" s="9" t="n">
        <v>0</v>
      </c>
      <c r="E42" s="9" t="n">
        <v>10</v>
      </c>
      <c r="F42" s="9">
        <f>IFERROR(MIN(C42,D42)*E42/C42,0)</f>
        <v/>
      </c>
      <c r="G42" s="9" t="n"/>
    </row>
    <row r="43" ht="14.15" customHeight="1">
      <c r="A43" s="7" t="n">
        <v>28</v>
      </c>
      <c r="B43" s="8" t="inlineStr">
        <is>
          <t>Soft starter 5.5–7.5 kW</t>
        </is>
      </c>
      <c r="C43" s="9" t="n">
        <v>2</v>
      </c>
      <c r="D43" s="9" t="n">
        <v>0</v>
      </c>
      <c r="E43" s="9" t="n">
        <v>9</v>
      </c>
      <c r="F43" s="9">
        <f>IFERROR(MIN(C43,D43)*E43/C43,0)</f>
        <v/>
      </c>
      <c r="G43" s="9" t="n"/>
    </row>
    <row r="44" ht="14.15" customHeight="1">
      <c r="A44" s="7" t="n">
        <v>29</v>
      </c>
      <c r="B44" s="8" t="inlineStr">
        <is>
          <t>Line reactor, EMC filter and braking resistor set for VFD</t>
        </is>
      </c>
      <c r="C44" s="9" t="n">
        <v>2</v>
      </c>
      <c r="D44" s="9" t="n">
        <v>0</v>
      </c>
      <c r="E44" s="9" t="n">
        <v>7</v>
      </c>
      <c r="F44" s="9">
        <f>IFERROR(MIN(C44,D44)*E44/C44,0)</f>
        <v/>
      </c>
      <c r="G44" s="9" t="inlineStr">
        <is>
          <t>02 sets</t>
        </is>
      </c>
    </row>
    <row r="45" ht="14.15" customHeight="1">
      <c r="A45" s="7" t="n">
        <v>30</v>
      </c>
      <c r="B45" s="8" t="inlineStr">
        <is>
          <t>Encoder/tachometer for speed feedback</t>
        </is>
      </c>
      <c r="C45" s="9" t="n">
        <v>2</v>
      </c>
      <c r="D45" s="9" t="n">
        <v>0</v>
      </c>
      <c r="E45" s="9" t="n">
        <v>6</v>
      </c>
      <c r="F45" s="9">
        <f>IFERROR(MIN(C45,D45)*E45/C45,0)</f>
        <v/>
      </c>
      <c r="G45" s="9" t="n"/>
    </row>
    <row r="46" ht="14.15" customHeight="1">
      <c r="A46" s="7" t="n">
        <v>31</v>
      </c>
      <c r="B46" s="8" t="inlineStr">
        <is>
          <t>PLC trainer (compact PLC with ≥14 DI, 10 DO, 2 AI, 1 AO; e.g., Siemens S7-1200, Mitsubishi FX5, Delta or equivalent) with programming software and cable</t>
        </is>
      </c>
      <c r="C46" s="9" t="n">
        <v>10</v>
      </c>
      <c r="D46" s="9" t="n">
        <v>0</v>
      </c>
      <c r="E46" s="9" t="n">
        <v>10</v>
      </c>
      <c r="F46" s="9">
        <f>IFERROR(MIN(C46,D46)*E46/C46,0)</f>
        <v/>
      </c>
      <c r="G46" s="9" t="n"/>
    </row>
    <row r="47" ht="14.15" customHeight="1">
      <c r="A47" s="7" t="n">
        <v>32</v>
      </c>
      <c r="B47" s="8" t="inlineStr">
        <is>
          <t>HMI touch panel 7" with software</t>
        </is>
      </c>
      <c r="C47" s="9" t="n">
        <v>10</v>
      </c>
      <c r="D47" s="9" t="n">
        <v>0</v>
      </c>
      <c r="E47" s="9" t="n">
        <v>9</v>
      </c>
      <c r="F47" s="9">
        <f>IFERROR(MIN(C47,D47)*E47/C47,0)</f>
        <v/>
      </c>
      <c r="G47" s="9" t="n"/>
    </row>
    <row r="48" ht="14.15" customHeight="1">
      <c r="A48" s="7" t="n">
        <v>33</v>
      </c>
      <c r="B48" s="8" t="inlineStr">
        <is>
          <t>Industrial communication kit (Modbus RTU/TCP, Profinet/Ethernet switch, cables)</t>
        </is>
      </c>
      <c r="C48" s="9" t="n">
        <v>10</v>
      </c>
      <c r="D48" s="9" t="n">
        <v>0</v>
      </c>
      <c r="E48" s="9" t="n">
        <v>8</v>
      </c>
      <c r="F48" s="9">
        <f>IFERROR(MIN(C48,D48)*E48/C48,0)</f>
        <v/>
      </c>
      <c r="G48" s="9" t="inlineStr">
        <is>
          <t>10 sets</t>
        </is>
      </c>
    </row>
    <row r="49" ht="14.15" customHeight="1">
      <c r="A49" s="7" t="n">
        <v>34</v>
      </c>
      <c r="B49" s="8" t="inlineStr">
        <is>
          <t>Sensor training kit: inductive, capacitive, proximity, photoelectric, fibre-optic, yarn break sensor, limit switch, level switch, pressure switch</t>
        </is>
      </c>
      <c r="C49" s="9" t="n">
        <v>10</v>
      </c>
      <c r="D49" s="9" t="n">
        <v>0</v>
      </c>
      <c r="E49" s="9" t="n">
        <v>9</v>
      </c>
      <c r="F49" s="9">
        <f>IFERROR(MIN(C49,D49)*E49/C49,0)</f>
        <v/>
      </c>
      <c r="G49" s="9" t="inlineStr">
        <is>
          <t>10 sets</t>
        </is>
      </c>
    </row>
    <row r="50" ht="14.15" customHeight="1">
      <c r="A50" s="7" t="n">
        <v>35</v>
      </c>
      <c r="B50" s="8" t="inlineStr">
        <is>
          <t>Temperature sensors (RTD Pt100, thermocouple K) with transmitters and temperature controller</t>
        </is>
      </c>
      <c r="C50" s="9" t="n">
        <v>10</v>
      </c>
      <c r="D50" s="9" t="n">
        <v>0</v>
      </c>
      <c r="E50" s="9" t="n">
        <v>8</v>
      </c>
      <c r="F50" s="9">
        <f>IFERROR(MIN(C50,D50)*E50/C50,0)</f>
        <v/>
      </c>
      <c r="G50" s="9" t="inlineStr">
        <is>
          <t>10 sets</t>
        </is>
      </c>
    </row>
    <row r="51" ht="14.15" customHeight="1">
      <c r="A51" s="7" t="n">
        <v>36</v>
      </c>
      <c r="B51" s="8" t="inlineStr">
        <is>
          <t>Pressure transmitter (4–20 mA) and level transmitter</t>
        </is>
      </c>
      <c r="C51" s="9" t="n">
        <v>10</v>
      </c>
      <c r="D51" s="9" t="n">
        <v>0</v>
      </c>
      <c r="E51" s="9" t="n">
        <v>8</v>
      </c>
      <c r="F51" s="9">
        <f>IFERROR(MIN(C51,D51)*E51/C51,0)</f>
        <v/>
      </c>
      <c r="G51" s="9" t="n"/>
    </row>
    <row r="52" ht="14.15" customHeight="1">
      <c r="A52" s="7" t="n">
        <v>37</v>
      </c>
      <c r="B52" s="8" t="inlineStr">
        <is>
          <t>Load cell/tension sensor with amplifier</t>
        </is>
      </c>
      <c r="C52" s="9" t="n">
        <v>1</v>
      </c>
      <c r="D52" s="9" t="n">
        <v>0</v>
      </c>
      <c r="E52" s="9" t="n">
        <v>6</v>
      </c>
      <c r="F52" s="9">
        <f>IFERROR(MIN(C52,D52)*E52/C52,0)</f>
        <v/>
      </c>
      <c r="G52" s="9" t="inlineStr">
        <is>
          <t>01 set</t>
        </is>
      </c>
    </row>
    <row r="53" ht="14.15" customHeight="1">
      <c r="A53" s="7" t="n">
        <v>38</v>
      </c>
      <c r="B53" s="8" t="inlineStr">
        <is>
          <t>Process calibrator (mA/V/RTD/TC simulator)</t>
        </is>
      </c>
      <c r="C53" s="9" t="n">
        <v>2</v>
      </c>
      <c r="D53" s="9" t="n">
        <v>0</v>
      </c>
      <c r="E53" s="9" t="n">
        <v>7</v>
      </c>
      <c r="F53" s="9">
        <f>IFERROR(MIN(C53,D53)*E53/C53,0)</f>
        <v/>
      </c>
      <c r="G53" s="9" t="n"/>
    </row>
    <row r="54" ht="14.15" customHeight="1">
      <c r="A54" s="7" t="n">
        <v>39</v>
      </c>
      <c r="B54" s="8" t="inlineStr">
        <is>
          <t>Electronic circuit trainer (power supply, transistor, op-amp, timer, logic, SCR/TRIAC, IGBT, dimmer, modules)</t>
        </is>
      </c>
      <c r="C54" s="9" t="n">
        <v>6</v>
      </c>
      <c r="D54" s="9" t="n">
        <v>0</v>
      </c>
      <c r="E54" s="9" t="n">
        <v>9</v>
      </c>
      <c r="F54" s="9">
        <f>IFERROR(MIN(C54,D54)*E54/C54,0)</f>
        <v/>
      </c>
      <c r="G54" s="9" t="n"/>
    </row>
    <row r="55" ht="14.15" customHeight="1">
      <c r="A55" s="7" t="n">
        <v>40</v>
      </c>
      <c r="B55" s="8" t="inlineStr">
        <is>
          <t>Breadboards, component kits and PCB practice boards</t>
        </is>
      </c>
      <c r="C55" s="9" t="n">
        <v>13</v>
      </c>
      <c r="D55" s="9" t="n">
        <v>0</v>
      </c>
      <c r="E55" s="9" t="n">
        <v>6</v>
      </c>
      <c r="F55" s="9">
        <f>IFERROR(MIN(C55,D55)*E55/C55,0)</f>
        <v/>
      </c>
      <c r="G55" s="9" t="inlineStr">
        <is>
          <t>13 sets</t>
        </is>
      </c>
    </row>
    <row r="56" ht="14.15" customHeight="1">
      <c r="A56" s="7" t="n">
        <v>41</v>
      </c>
      <c r="B56" s="8" t="inlineStr">
        <is>
          <t>Soldering/desoldering station with anti-static mat and wrist strap</t>
        </is>
      </c>
      <c r="C56" s="9" t="n">
        <v>6</v>
      </c>
      <c r="D56" s="9" t="n">
        <v>0</v>
      </c>
      <c r="E56" s="9" t="n">
        <v>6</v>
      </c>
      <c r="F56" s="9">
        <f>IFERROR(MIN(C56,D56)*E56/C56,0)</f>
        <v/>
      </c>
      <c r="G56" s="9" t="n"/>
    </row>
    <row r="57" ht="14.15" customHeight="1">
      <c r="A57" s="7" t="n">
        <v>42</v>
      </c>
      <c r="B57" s="8" t="inlineStr">
        <is>
          <t>Digital storage oscilloscope, ≥50 MHz, 2-channel</t>
        </is>
      </c>
      <c r="C57" s="9" t="n">
        <v>5</v>
      </c>
      <c r="D57" s="9" t="n">
        <v>0</v>
      </c>
      <c r="E57" s="9" t="n">
        <v>8</v>
      </c>
      <c r="F57" s="9">
        <f>IFERROR(MIN(C57,D57)*E57/C57,0)</f>
        <v/>
      </c>
      <c r="G57" s="9" t="n"/>
    </row>
    <row r="58" ht="14.15" customHeight="1">
      <c r="A58" s="7" t="n">
        <v>43</v>
      </c>
      <c r="B58" s="8" t="inlineStr">
        <is>
          <t>Function/signal generator</t>
        </is>
      </c>
      <c r="C58" s="9" t="n">
        <v>5</v>
      </c>
      <c r="D58" s="9" t="n">
        <v>0</v>
      </c>
      <c r="E58" s="9" t="n">
        <v>7</v>
      </c>
      <c r="F58" s="9">
        <f>IFERROR(MIN(C58,D58)*E58/C58,0)</f>
        <v/>
      </c>
      <c r="G58" s="9" t="n"/>
    </row>
    <row r="59" ht="14.15" customHeight="1">
      <c r="A59" s="7" t="n">
        <v>44</v>
      </c>
      <c r="B59" s="8" t="inlineStr">
        <is>
          <t>Regulated DC power supply, 0–30 V/5 A</t>
        </is>
      </c>
      <c r="C59" s="9" t="n">
        <v>6</v>
      </c>
      <c r="D59" s="9" t="n">
        <v>0</v>
      </c>
      <c r="E59" s="9" t="n">
        <v>7</v>
      </c>
      <c r="F59" s="9">
        <f>IFERROR(MIN(C59,D59)*E59/C59,0)</f>
        <v/>
      </c>
      <c r="G59" s="9" t="n"/>
    </row>
    <row r="60" ht="14.15" customHeight="1">
      <c r="A60" s="7" t="n">
        <v>45</v>
      </c>
      <c r="B60" s="8" t="inlineStr">
        <is>
          <t>Textile machine electrical training module (simulated machine with motor, VFD, PLC/HMI, sensors, stop motions and fault-insertion facility) OR access to actual textile machines through industry partnership</t>
        </is>
      </c>
      <c r="C60" s="9" t="n">
        <v>1</v>
      </c>
      <c r="D60" s="9" t="n">
        <v>0</v>
      </c>
      <c r="E60" s="9" t="n">
        <v>10</v>
      </c>
      <c r="F60" s="9">
        <f>IFERROR(MIN(C60,D60)*E60/C60,0)</f>
        <v/>
      </c>
      <c r="G60" s="9" t="n"/>
    </row>
    <row r="61" ht="14.15" customHeight="1">
      <c r="A61" s="7" t="n">
        <v>46</v>
      </c>
      <c r="B61" s="8" t="inlineStr">
        <is>
          <t>Wiring/panel practice boards with DIN rail, trunking, terminal blocks</t>
        </is>
      </c>
      <c r="C61" s="9" t="n">
        <v>12</v>
      </c>
      <c r="D61" s="9" t="n">
        <v>0</v>
      </c>
      <c r="E61" s="9" t="n">
        <v>7</v>
      </c>
      <c r="F61" s="9">
        <f>IFERROR(MIN(C61,D61)*E61/C61,0)</f>
        <v/>
      </c>
      <c r="G61" s="9" t="n"/>
    </row>
    <row r="62" ht="14.15" customHeight="1">
      <c r="A62" s="7" t="n">
        <v>47</v>
      </c>
      <c r="B62" s="8" t="inlineStr">
        <is>
          <t>Work bench with bench vice</t>
        </is>
      </c>
      <c r="C62" s="9" t="n">
        <v>6</v>
      </c>
      <c r="D62" s="9" t="n">
        <v>0</v>
      </c>
      <c r="E62" s="9" t="n">
        <v>4</v>
      </c>
      <c r="F62" s="9">
        <f>IFERROR(MIN(C62,D62)*E62/C62,0)</f>
        <v/>
      </c>
      <c r="G62" s="9" t="n"/>
    </row>
    <row r="63" ht="14.15" customHeight="1">
      <c r="A63" s="7" t="n">
        <v>48</v>
      </c>
      <c r="B63" s="8" t="inlineStr">
        <is>
          <t>Tool storage cabinet</t>
        </is>
      </c>
      <c r="C63" s="9" t="n">
        <v>2</v>
      </c>
      <c r="D63" s="9" t="n">
        <v>0</v>
      </c>
      <c r="E63" s="9" t="n">
        <v>3</v>
      </c>
      <c r="F63" s="9">
        <f>IFERROR(MIN(C63,D63)*E63/C63,0)</f>
        <v/>
      </c>
      <c r="G63" s="9" t="n"/>
    </row>
    <row r="64" ht="14.15" customHeight="1">
      <c r="A64" s="7" t="n">
        <v>49</v>
      </c>
      <c r="B64" s="8" t="inlineStr">
        <is>
          <t>Material storage rack</t>
        </is>
      </c>
      <c r="C64" s="9" t="n">
        <v>2</v>
      </c>
      <c r="D64" s="9" t="n">
        <v>0</v>
      </c>
      <c r="E64" s="9" t="n">
        <v>3</v>
      </c>
      <c r="F64" s="9">
        <f>IFERROR(MIN(C64,D64)*E64/C64,0)</f>
        <v/>
      </c>
      <c r="G64" s="9" t="n"/>
    </row>
    <row r="65" ht="14.15" customHeight="1">
      <c r="A65" s="7" t="n">
        <v>50</v>
      </c>
      <c r="B65" s="8" t="inlineStr">
        <is>
          <t>Fire extinguishers (CO2 and dry powder) and first aid kit with CPR chart</t>
        </is>
      </c>
      <c r="C65" s="9" t="n">
        <v>2</v>
      </c>
      <c r="D65" s="9" t="n">
        <v>0</v>
      </c>
      <c r="E65" s="9" t="n">
        <v>4</v>
      </c>
      <c r="F65" s="9">
        <f>IFERROR(MIN(C65,D65)*E65/C65,0)</f>
        <v/>
      </c>
      <c r="G65" s="9" t="inlineStr">
        <is>
          <t>02 + 01</t>
        </is>
      </c>
    </row>
    <row r="66" ht="14.15" customHeight="1">
      <c r="A66" s="7" t="n">
        <v>51</v>
      </c>
      <c r="B66" s="8" t="inlineStr">
        <is>
          <t>PPE set (safety glasses, insulated gloves, helmet, dust mask, safety shoes) for trainees</t>
        </is>
      </c>
      <c r="C66" s="9" t="n">
        <v>25</v>
      </c>
      <c r="D66" s="9" t="n">
        <v>0</v>
      </c>
      <c r="E66" s="9" t="n">
        <v>4</v>
      </c>
      <c r="F66" s="9">
        <f>IFERROR(MIN(C66,D66)*E66/C66,0)</f>
        <v/>
      </c>
      <c r="G66" s="9" t="inlineStr">
        <is>
          <t>25 sets</t>
        </is>
      </c>
    </row>
    <row r="67" ht="14.15" customHeight="1">
      <c r="A67" s="7" t="n">
        <v>52</v>
      </c>
      <c r="B67" s="8" t="inlineStr">
        <is>
          <t>LOTO kit (locks, tags, hasps)</t>
        </is>
      </c>
      <c r="C67" s="9" t="n">
        <v>5</v>
      </c>
      <c r="D67" s="9" t="n">
        <v>0</v>
      </c>
      <c r="E67" s="9" t="n">
        <v>4</v>
      </c>
      <c r="F67" s="9">
        <f>IFERROR(MIN(C67,D67)*E67/C67,0)</f>
        <v/>
      </c>
      <c r="G67" s="9" t="inlineStr">
        <is>
          <t>05 sets</t>
        </is>
      </c>
    </row>
    <row r="68" ht="14.15" customHeight="1">
      <c r="A68" s="7" t="n">
        <v>53</v>
      </c>
      <c r="B68" s="8" t="inlineStr">
        <is>
          <t>Insulated screwdriver set</t>
        </is>
      </c>
      <c r="C68" s="9" t="n">
        <v>25</v>
      </c>
      <c r="D68" s="9" t="n">
        <v>0</v>
      </c>
      <c r="E68" s="9" t="n">
        <v>3</v>
      </c>
      <c r="F68" s="9">
        <f>IFERROR(MIN(C68,D68)*E68/C68,0)</f>
        <v/>
      </c>
      <c r="G68" s="9" t="n"/>
    </row>
    <row r="69" ht="14.15" customHeight="1">
      <c r="A69" s="7" t="n">
        <v>54</v>
      </c>
      <c r="B69" s="8" t="inlineStr">
        <is>
          <t>Combination pliers</t>
        </is>
      </c>
      <c r="C69" s="9" t="n">
        <v>25</v>
      </c>
      <c r="D69" s="9" t="n">
        <v>0</v>
      </c>
      <c r="E69" s="9" t="n">
        <v>3</v>
      </c>
      <c r="F69" s="9">
        <f>IFERROR(MIN(C69,D69)*E69/C69,0)</f>
        <v/>
      </c>
      <c r="G69" s="9" t="n"/>
    </row>
    <row r="70" ht="14.15" customHeight="1">
      <c r="A70" s="7" t="n">
        <v>55</v>
      </c>
      <c r="B70" s="8" t="inlineStr">
        <is>
          <t>Long-nose pliers</t>
        </is>
      </c>
      <c r="C70" s="9" t="n">
        <v>13</v>
      </c>
      <c r="D70" s="9" t="n">
        <v>0</v>
      </c>
      <c r="E70" s="9" t="n">
        <v>3</v>
      </c>
      <c r="F70" s="9">
        <f>IFERROR(MIN(C70,D70)*E70/C70,0)</f>
        <v/>
      </c>
      <c r="G70" s="9" t="n"/>
    </row>
    <row r="71" ht="14.15" customHeight="1">
      <c r="A71" s="7" t="n">
        <v>56</v>
      </c>
      <c r="B71" s="8" t="inlineStr">
        <is>
          <t>Wire stripper and cutter</t>
        </is>
      </c>
      <c r="C71" s="9" t="n">
        <v>25</v>
      </c>
      <c r="D71" s="9" t="n">
        <v>0</v>
      </c>
      <c r="E71" s="9" t="n">
        <v>3</v>
      </c>
      <c r="F71" s="9">
        <f>IFERROR(MIN(C71,D71)*E71/C71,0)</f>
        <v/>
      </c>
      <c r="G71" s="9" t="n"/>
    </row>
    <row r="72" ht="14.15" customHeight="1">
      <c r="A72" s="7" t="n">
        <v>57</v>
      </c>
      <c r="B72" s="8" t="inlineStr">
        <is>
          <t>Crimping pliers (ferrule and lug)</t>
        </is>
      </c>
      <c r="C72" s="9" t="n">
        <v>13</v>
      </c>
      <c r="D72" s="9" t="n">
        <v>0</v>
      </c>
      <c r="E72" s="9" t="n">
        <v>3</v>
      </c>
      <c r="F72" s="9">
        <f>IFERROR(MIN(C72,D72)*E72/C72,0)</f>
        <v/>
      </c>
      <c r="G72" s="9" t="n"/>
    </row>
    <row r="73" ht="14.15" customHeight="1">
      <c r="A73" s="7" t="n">
        <v>58</v>
      </c>
      <c r="B73" s="8" t="inlineStr">
        <is>
          <t>Hydraulic cable lug crimper</t>
        </is>
      </c>
      <c r="C73" s="9" t="n">
        <v>2</v>
      </c>
      <c r="D73" s="9" t="n">
        <v>0</v>
      </c>
      <c r="E73" s="9" t="n">
        <v>4</v>
      </c>
      <c r="F73" s="9">
        <f>IFERROR(MIN(C73,D73)*E73/C73,0)</f>
        <v/>
      </c>
      <c r="G73" s="9" t="n"/>
    </row>
    <row r="74" ht="14.15" customHeight="1">
      <c r="A74" s="7" t="n">
        <v>59</v>
      </c>
      <c r="B74" s="8" t="inlineStr">
        <is>
          <t>Neon tester/voltage detector</t>
        </is>
      </c>
      <c r="C74" s="9" t="n">
        <v>25</v>
      </c>
      <c r="D74" s="9" t="n">
        <v>0</v>
      </c>
      <c r="E74" s="9" t="n">
        <v>4</v>
      </c>
      <c r="F74" s="9">
        <f>IFERROR(MIN(C74,D74)*E74/C74,0)</f>
        <v/>
      </c>
      <c r="G74" s="9" t="n"/>
    </row>
    <row r="75" ht="14.15" customHeight="1">
      <c r="A75" s="7" t="n">
        <v>60</v>
      </c>
      <c r="B75" s="8" t="inlineStr">
        <is>
          <t>Digital multimeter (true RMS), energy meter</t>
        </is>
      </c>
      <c r="C75" s="9" t="n">
        <v>20</v>
      </c>
      <c r="D75" s="9" t="n">
        <v>0</v>
      </c>
      <c r="E75" s="9" t="n">
        <v>6</v>
      </c>
      <c r="F75" s="9">
        <f>IFERROR(MIN(C75,D75)*E75/C75,0)</f>
        <v/>
      </c>
      <c r="G75" s="9" t="n"/>
    </row>
    <row r="76" ht="14.15" customHeight="1">
      <c r="A76" s="7" t="n">
        <v>61</v>
      </c>
      <c r="B76" s="8" t="inlineStr">
        <is>
          <t>Clamp meter (AC/DC, true RMS)</t>
        </is>
      </c>
      <c r="C76" s="9" t="n">
        <v>8</v>
      </c>
      <c r="D76" s="9" t="n">
        <v>0</v>
      </c>
      <c r="E76" s="9" t="n">
        <v>6</v>
      </c>
      <c r="F76" s="9">
        <f>IFERROR(MIN(C76,D76)*E76/C76,0)</f>
        <v/>
      </c>
      <c r="G76" s="9" t="n"/>
    </row>
    <row r="77" ht="14.15" customHeight="1">
      <c r="A77" s="7" t="n">
        <v>62</v>
      </c>
      <c r="B77" s="8" t="inlineStr">
        <is>
          <t>Insulation resistance tester (Megger) 1000 V</t>
        </is>
      </c>
      <c r="C77" s="9" t="n">
        <v>3</v>
      </c>
      <c r="D77" s="9" t="n">
        <v>0</v>
      </c>
      <c r="E77" s="9" t="n">
        <v>6</v>
      </c>
      <c r="F77" s="9">
        <f>IFERROR(MIN(C77,D77)*E77/C77,0)</f>
        <v/>
      </c>
      <c r="G77" s="9" t="n"/>
    </row>
    <row r="78" ht="14.15" customHeight="1">
      <c r="A78" s="7" t="n">
        <v>63</v>
      </c>
      <c r="B78" s="8" t="inlineStr">
        <is>
          <t>Earth resistance tester</t>
        </is>
      </c>
      <c r="C78" s="9" t="n">
        <v>2</v>
      </c>
      <c r="D78" s="9" t="n">
        <v>0</v>
      </c>
      <c r="E78" s="9" t="n">
        <v>6</v>
      </c>
      <c r="F78" s="9">
        <f>IFERROR(MIN(C78,D78)*E78/C78,0)</f>
        <v/>
      </c>
      <c r="G78" s="9" t="n"/>
    </row>
    <row r="79" ht="14.15" customHeight="1">
      <c r="A79" s="7" t="n">
        <v>64</v>
      </c>
      <c r="B79" s="8" t="inlineStr">
        <is>
          <t>Phase sequence tester</t>
        </is>
      </c>
      <c r="C79" s="9" t="n">
        <v>3</v>
      </c>
      <c r="D79" s="9" t="n">
        <v>0</v>
      </c>
      <c r="E79" s="9" t="n">
        <v>5</v>
      </c>
      <c r="F79" s="9">
        <f>IFERROR(MIN(C79,D79)*E79/C79,0)</f>
        <v/>
      </c>
      <c r="G79" s="9" t="n"/>
    </row>
    <row r="80" ht="14.15" customHeight="1">
      <c r="A80" s="7" t="n">
        <v>65</v>
      </c>
      <c r="B80" s="8" t="inlineStr">
        <is>
          <t>Power quality analyzer (3-phase, harmonic analysis)</t>
        </is>
      </c>
      <c r="C80" s="9" t="n">
        <v>2</v>
      </c>
      <c r="D80" s="9" t="n">
        <v>0</v>
      </c>
      <c r="E80" s="9" t="n">
        <v>6</v>
      </c>
      <c r="F80" s="9">
        <f>IFERROR(MIN(C80,D80)*E80/C80,0)</f>
        <v/>
      </c>
      <c r="G80" s="9" t="n"/>
    </row>
    <row r="81" ht="14.15" customHeight="1">
      <c r="A81" s="7" t="n">
        <v>66</v>
      </c>
      <c r="B81" s="8" t="inlineStr">
        <is>
          <t>Digital tachometer (contact/non-contact)</t>
        </is>
      </c>
      <c r="C81" s="9" t="n">
        <v>3</v>
      </c>
      <c r="D81" s="9" t="n">
        <v>0</v>
      </c>
      <c r="E81" s="9" t="n">
        <v>5</v>
      </c>
      <c r="F81" s="9">
        <f>IFERROR(MIN(C81,D81)*E81/C81,0)</f>
        <v/>
      </c>
      <c r="G81" s="9" t="n"/>
    </row>
    <row r="82" ht="14.15" customHeight="1">
      <c r="A82" s="7" t="n">
        <v>67</v>
      </c>
      <c r="B82" s="8" t="inlineStr">
        <is>
          <t>Infrared thermometer/thermal imaging camera</t>
        </is>
      </c>
      <c r="C82" s="9" t="n">
        <v>2</v>
      </c>
      <c r="D82" s="9" t="n">
        <v>0</v>
      </c>
      <c r="E82" s="9" t="n">
        <v>5</v>
      </c>
      <c r="F82" s="9">
        <f>IFERROR(MIN(C82,D82)*E82/C82,0)</f>
        <v/>
      </c>
      <c r="G82" s="9" t="n"/>
    </row>
    <row r="83" ht="14.15" customHeight="1">
      <c r="A83" s="7" t="n">
        <v>68</v>
      </c>
      <c r="B83" s="8" t="inlineStr">
        <is>
          <t>Vibration meter</t>
        </is>
      </c>
      <c r="C83" s="9" t="n">
        <v>1</v>
      </c>
      <c r="D83" s="9" t="n">
        <v>0</v>
      </c>
      <c r="E83" s="9" t="n">
        <v>5</v>
      </c>
      <c r="F83" s="9">
        <f>IFERROR(MIN(C83,D83)*E83/C83,0)</f>
        <v/>
      </c>
      <c r="G83" s="9" t="n"/>
    </row>
    <row r="84" ht="14.15" customHeight="1">
      <c r="A84" s="7" t="n">
        <v>69</v>
      </c>
      <c r="B84" s="8" t="inlineStr">
        <is>
          <t>Electric drill and impact driver</t>
        </is>
      </c>
      <c r="C84" s="9" t="n">
        <v>5</v>
      </c>
      <c r="D84" s="9" t="n">
        <v>0</v>
      </c>
      <c r="E84" s="9" t="n">
        <v>3</v>
      </c>
      <c r="F84" s="9">
        <f>IFERROR(MIN(C84,D84)*E84/C84,0)</f>
        <v/>
      </c>
      <c r="G84" s="9" t="inlineStr">
        <is>
          <t>05 + 03</t>
        </is>
      </c>
    </row>
    <row r="85" ht="14.15" customHeight="1">
      <c r="A85" s="7" t="n">
        <v>70</v>
      </c>
      <c r="B85" s="8" t="inlineStr">
        <is>
          <t>Angle grinder</t>
        </is>
      </c>
      <c r="C85" s="9" t="n">
        <v>2</v>
      </c>
      <c r="D85" s="9" t="n">
        <v>0</v>
      </c>
      <c r="E85" s="9" t="n">
        <v>3</v>
      </c>
      <c r="F85" s="9">
        <f>IFERROR(MIN(C85,D85)*E85/C85,0)</f>
        <v/>
      </c>
      <c r="G85" s="9" t="n"/>
    </row>
    <row r="86" ht="14.15" customHeight="1">
      <c r="A86" s="7" t="n">
        <v>71</v>
      </c>
      <c r="B86" s="8" t="inlineStr">
        <is>
          <t>Hack saw, pipe cutter, conduit bender</t>
        </is>
      </c>
      <c r="C86" s="9" t="n">
        <v>5</v>
      </c>
      <c r="D86" s="9" t="n">
        <v>0</v>
      </c>
      <c r="E86" s="9" t="n">
        <v>3</v>
      </c>
      <c r="F86" s="9">
        <f>IFERROR(MIN(C86,D86)*E86/C86,0)</f>
        <v/>
      </c>
      <c r="G86" s="9" t="inlineStr">
        <is>
          <t>05 each</t>
        </is>
      </c>
    </row>
    <row r="87" ht="14.15" customHeight="1">
      <c r="A87" s="7" t="n">
        <v>72</v>
      </c>
      <c r="B87" s="8" t="inlineStr">
        <is>
          <t>Hammer and chisel set</t>
        </is>
      </c>
      <c r="C87" s="9" t="n">
        <v>5</v>
      </c>
      <c r="D87" s="9" t="n">
        <v>0</v>
      </c>
      <c r="E87" s="9" t="n">
        <v>3</v>
      </c>
      <c r="F87" s="9">
        <f>IFERROR(MIN(C87,D87)*E87/C87,0)</f>
        <v/>
      </c>
      <c r="G87" s="9" t="n"/>
    </row>
    <row r="88" ht="14.15" customHeight="1">
      <c r="A88" s="7" t="n">
        <v>73</v>
      </c>
      <c r="B88" s="8" t="inlineStr">
        <is>
          <t>Spanner/socket set and torque wrench</t>
        </is>
      </c>
      <c r="C88" s="9" t="n">
        <v>5</v>
      </c>
      <c r="D88" s="9" t="n">
        <v>0</v>
      </c>
      <c r="E88" s="9" t="n">
        <v>3</v>
      </c>
      <c r="F88" s="9">
        <f>IFERROR(MIN(C88,D88)*E88/C88,0)</f>
        <v/>
      </c>
      <c r="G88" s="9" t="inlineStr">
        <is>
          <t>05 + 02</t>
        </is>
      </c>
    </row>
    <row r="89" ht="14.15" customHeight="1">
      <c r="A89" s="7" t="n">
        <v>74</v>
      </c>
      <c r="B89" s="8" t="inlineStr">
        <is>
          <t>Measuring tape and spirit level</t>
        </is>
      </c>
      <c r="C89" s="9" t="n">
        <v>5</v>
      </c>
      <c r="D89" s="9" t="n">
        <v>0</v>
      </c>
      <c r="E89" s="9" t="n">
        <v>3</v>
      </c>
      <c r="F89" s="9">
        <f>IFERROR(MIN(C89,D89)*E89/C89,0)</f>
        <v/>
      </c>
      <c r="G89" s="9" t="inlineStr">
        <is>
          <t>05 each</t>
        </is>
      </c>
    </row>
    <row r="90" ht="14.15" customHeight="1">
      <c r="A90" s="7" t="n">
        <v>75</v>
      </c>
      <c r="B90" s="8" t="inlineStr">
        <is>
          <t>Cable pulling tools and fish tape</t>
        </is>
      </c>
      <c r="C90" s="9" t="n">
        <v>5</v>
      </c>
      <c r="D90" s="9" t="n">
        <v>0</v>
      </c>
      <c r="E90" s="9" t="n">
        <v>3</v>
      </c>
      <c r="F90" s="9">
        <f>IFERROR(MIN(C90,D90)*E90/C90,0)</f>
        <v/>
      </c>
      <c r="G90" s="9" t="n"/>
    </row>
    <row r="91" ht="14.15" customHeight="1">
      <c r="A91" s="7" t="n">
        <v>76</v>
      </c>
      <c r="B91" s="8" t="inlineStr">
        <is>
          <t>Ladder</t>
        </is>
      </c>
      <c r="C91" s="9" t="n">
        <v>2</v>
      </c>
      <c r="D91" s="9" t="n">
        <v>0</v>
      </c>
      <c r="E91" s="9" t="n">
        <v>3</v>
      </c>
      <c r="F91" s="9">
        <f>IFERROR(MIN(C91,D91)*E91/C91,0)</f>
        <v/>
      </c>
      <c r="G91" s="9" t="n"/>
    </row>
    <row r="92" ht="14.15" customHeight="1">
      <c r="A92" s="7" t="n">
        <v>77</v>
      </c>
      <c r="B92" s="8" t="inlineStr">
        <is>
          <t>Toolbox</t>
        </is>
      </c>
      <c r="C92" s="9" t="n">
        <v>5</v>
      </c>
      <c r="D92" s="9" t="n">
        <v>0</v>
      </c>
      <c r="E92" s="9" t="n">
        <v>3</v>
      </c>
      <c r="F92" s="9">
        <f>IFERROR(MIN(C92,D92)*E92/C92,0)</f>
        <v/>
      </c>
      <c r="G92" s="9" t="n"/>
    </row>
    <row r="93">
      <c r="A93" s="10" t="inlineStr">
        <is>
          <t>Sum</t>
        </is>
      </c>
      <c r="B93" s="11" t="n"/>
      <c r="C93" s="11" t="n"/>
      <c r="D93" s="12" t="n"/>
      <c r="E93" s="10">
        <f>SUM(E16:E92)</f>
        <v/>
      </c>
      <c r="F93" s="10">
        <f>SUM(F16:F92)</f>
        <v/>
      </c>
      <c r="G93" s="13" t="n"/>
    </row>
    <row r="94">
      <c r="A94" s="10" t="inlineStr">
        <is>
          <t>Score out of 100</t>
        </is>
      </c>
      <c r="B94" s="11" t="n"/>
      <c r="C94" s="11" t="n"/>
      <c r="D94" s="11" t="n"/>
      <c r="E94" s="12" t="n"/>
      <c r="F94" s="10">
        <f>F93/E93*100</f>
        <v/>
      </c>
      <c r="G94" s="13" t="n"/>
    </row>
    <row r="95" ht="9.75" customHeight="1"/>
    <row r="96">
      <c r="A96" s="10" t="inlineStr">
        <is>
          <t xml:space="preserve">Total achieved points out of 30  </t>
        </is>
      </c>
      <c r="B96" s="11" t="n"/>
      <c r="C96" s="11" t="n"/>
      <c r="D96" s="11" t="n"/>
      <c r="E96" s="12" t="n"/>
      <c r="F96" s="10">
        <f>F94*30/100</f>
        <v/>
      </c>
      <c r="G96" s="10" t="inlineStr">
        <is>
          <t>Points</t>
        </is>
      </c>
    </row>
  </sheetData>
  <mergeCells count="8">
    <mergeCell ref="A13:G13"/>
    <mergeCell ref="C7:G7"/>
    <mergeCell ref="A1:G1"/>
    <mergeCell ref="A96:E96"/>
    <mergeCell ref="A95:G95"/>
    <mergeCell ref="A94:E94"/>
    <mergeCell ref="C8:G8"/>
    <mergeCell ref="A93:D9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2026-10-06T13:53:11Z</dcterms:created>
  <dcterms:modified xmlns:dcterms="http://purl.org/dc/terms/" xmlns:xsi="http://www.w3.org/2001/XMLSchema-instance" xsi:type="dcterms:W3CDTF">2026-10-06T13:53:29Z</dcterms:modified>
</cp:coreProperties>
</file>
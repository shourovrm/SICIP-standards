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AD CAM Design &amp; CNC" sheetId="1" state="visible" r:id="rId1"/>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sz val="14"/>
    </font>
    <font>
      <name val="Arial"/>
      <b val="1"/>
      <sz val="11"/>
    </font>
    <font>
      <name val="Arial"/>
      <sz val="11"/>
    </font>
  </fonts>
  <fills count="3">
    <fill>
      <patternFill/>
    </fill>
    <fill>
      <patternFill patternType="gray125"/>
    </fill>
    <fill>
      <patternFill patternType="solid">
        <fgColor rgb="FFD9D9D9"/>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14">
    <xf numFmtId="0" fontId="0" fillId="0" borderId="0" pivotButton="0" quotePrefix="0" xfId="0"/>
    <xf numFmtId="0" fontId="1" fillId="0" borderId="0" applyAlignment="1" pivotButton="0" quotePrefix="0" xfId="0">
      <alignment horizontal="center" vertical="bottom"/>
    </xf>
    <xf numFmtId="0" fontId="2" fillId="0" borderId="1" applyAlignment="1" pivotButton="0" quotePrefix="0" xfId="0">
      <alignment horizontal="center" vertical="center" wrapText="1"/>
    </xf>
    <xf numFmtId="0" fontId="2" fillId="0" borderId="0" pivotButton="0" quotePrefix="0" xfId="0"/>
    <xf numFmtId="0" fontId="2" fillId="0" borderId="1" applyAlignment="1" pivotButton="0" quotePrefix="0" xfId="0">
      <alignment horizontal="left" vertical="center" wrapText="1"/>
    </xf>
    <xf numFmtId="0" fontId="3" fillId="0" borderId="0" applyAlignment="1" pivotButton="0" quotePrefix="0" xfId="0">
      <alignment horizontal="left" vertical="top" wrapText="1"/>
    </xf>
    <xf numFmtId="0" fontId="2" fillId="2" borderId="1" applyAlignment="1" pivotButton="0" quotePrefix="0" xfId="0">
      <alignment horizontal="center" vertical="center" wrapText="1"/>
    </xf>
    <xf numFmtId="0" fontId="3" fillId="0" borderId="1" applyAlignment="1" pivotButton="0" quotePrefix="0" xfId="0">
      <alignment horizontal="center" vertical="center"/>
    </xf>
    <xf numFmtId="0" fontId="3" fillId="0" borderId="1" applyAlignment="1" pivotButton="0" quotePrefix="0" xfId="0">
      <alignment horizontal="left" vertical="top" wrapText="1"/>
    </xf>
    <xf numFmtId="0" fontId="3" fillId="0" borderId="1" applyAlignment="1" pivotButton="0" quotePrefix="0" xfId="0">
      <alignment horizontal="center" vertical="center" wrapText="1"/>
    </xf>
    <xf numFmtId="0" fontId="2" fillId="0" borderId="1" applyAlignment="1" pivotButton="0" quotePrefix="0" xfId="0">
      <alignment horizontal="center" vertical="center"/>
    </xf>
    <xf numFmtId="0" fontId="0" fillId="0" borderId="4" pivotButton="0" quotePrefix="0" xfId="0"/>
    <xf numFmtId="0" fontId="0" fillId="0" borderId="5" pivotButton="0" quotePrefix="0" xfId="0"/>
    <xf numFmtId="0" fontId="2"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2"/>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CAD CAM Design and CNC 
Machine Operation</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CAD CAM Design and CNC 
Machine Operation</t>
        </is>
      </c>
      <c r="C8" s="4" t="inlineStr">
        <is>
          <t>Computer Lab		: 400 sft
Workshop		: 700-800 sft</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CAD CAM Design and CNC 
Machine Operation,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Workstation Computer with CAD and CAM Software</t>
        </is>
      </c>
      <c r="C16" s="9" t="n">
        <v>26</v>
      </c>
      <c r="D16" s="9" t="n">
        <v>0</v>
      </c>
      <c r="E16" s="9" t="n">
        <v>9</v>
      </c>
      <c r="F16" s="9">
        <f>IFERROR(MIN(C16,D16)*E16/C16,0)</f>
        <v/>
      </c>
      <c r="G16" s="9" t="n"/>
    </row>
    <row r="17" ht="14.15" customHeight="1">
      <c r="A17" s="7" t="n">
        <v>2</v>
      </c>
      <c r="B17" s="8" t="inlineStr">
        <is>
          <t>CNC Lathe Machine</t>
        </is>
      </c>
      <c r="C17" s="9" t="n">
        <v>1</v>
      </c>
      <c r="D17" s="9" t="n">
        <v>0</v>
      </c>
      <c r="E17" s="9" t="n">
        <v>10</v>
      </c>
      <c r="F17" s="9">
        <f>IFERROR(MIN(C17,D17)*E17/C17,0)</f>
        <v/>
      </c>
      <c r="G17" s="9" t="n"/>
    </row>
    <row r="18" ht="14.15" customHeight="1">
      <c r="A18" s="7" t="n">
        <v>3</v>
      </c>
      <c r="B18" s="8" t="inlineStr">
        <is>
          <t>CNC Milling Machine</t>
        </is>
      </c>
      <c r="C18" s="9" t="n">
        <v>1</v>
      </c>
      <c r="D18" s="9" t="n">
        <v>0</v>
      </c>
      <c r="E18" s="9" t="n">
        <v>10</v>
      </c>
      <c r="F18" s="9">
        <f>IFERROR(MIN(C18,D18)*E18/C18,0)</f>
        <v/>
      </c>
      <c r="G18" s="9" t="n"/>
    </row>
    <row r="19" ht="14.15" customHeight="1">
      <c r="A19" s="7" t="n">
        <v>4</v>
      </c>
      <c r="B19" s="8" t="inlineStr">
        <is>
          <t>Bench Vice</t>
        </is>
      </c>
      <c r="C19" s="9" t="n">
        <v>5</v>
      </c>
      <c r="D19" s="9" t="n">
        <v>0</v>
      </c>
      <c r="E19" s="9" t="n">
        <v>4</v>
      </c>
      <c r="F19" s="9">
        <f>IFERROR(MIN(C19,D19)*E19/C19,0)</f>
        <v/>
      </c>
      <c r="G19" s="9" t="n"/>
    </row>
    <row r="20" ht="14.15" customHeight="1">
      <c r="A20" s="7" t="n">
        <v>5</v>
      </c>
      <c r="B20" s="8" t="inlineStr">
        <is>
          <t>Working Table</t>
        </is>
      </c>
      <c r="C20" s="9" t="n">
        <v>2</v>
      </c>
      <c r="D20" s="9" t="n">
        <v>0</v>
      </c>
      <c r="E20" s="9" t="n">
        <v>3</v>
      </c>
      <c r="F20" s="9">
        <f>IFERROR(MIN(C20,D20)*E20/C20,0)</f>
        <v/>
      </c>
      <c r="G20" s="9" t="n"/>
    </row>
    <row r="21" ht="14.15" customHeight="1">
      <c r="A21" s="7" t="n">
        <v>6</v>
      </c>
      <c r="B21" s="8" t="inlineStr">
        <is>
          <t>Cutting tools set for lathe machine</t>
        </is>
      </c>
      <c r="C21" s="9" t="n">
        <v>2</v>
      </c>
      <c r="D21" s="9" t="n">
        <v>0</v>
      </c>
      <c r="E21" s="9" t="n">
        <v>6</v>
      </c>
      <c r="F21" s="9">
        <f>IFERROR(MIN(C21,D21)*E21/C21,0)</f>
        <v/>
      </c>
      <c r="G21" s="9" t="n"/>
    </row>
    <row r="22" ht="14.15" customHeight="1">
      <c r="A22" s="7" t="n">
        <v>7</v>
      </c>
      <c r="B22" s="8" t="inlineStr">
        <is>
          <t>Cutting tools set for milling machine</t>
        </is>
      </c>
      <c r="C22" s="9" t="n">
        <v>2</v>
      </c>
      <c r="D22" s="9" t="n">
        <v>0</v>
      </c>
      <c r="E22" s="9" t="n">
        <v>6</v>
      </c>
      <c r="F22" s="9">
        <f>IFERROR(MIN(C22,D22)*E22/C22,0)</f>
        <v/>
      </c>
      <c r="G22" s="9" t="n"/>
    </row>
    <row r="23" ht="14.15" customHeight="1">
      <c r="A23" s="7" t="n">
        <v>8</v>
      </c>
      <c r="B23" s="8" t="inlineStr">
        <is>
          <t>Vernier caliper</t>
        </is>
      </c>
      <c r="C23" s="9" t="n">
        <v>5</v>
      </c>
      <c r="D23" s="9" t="n">
        <v>0</v>
      </c>
      <c r="E23" s="9" t="n">
        <v>4</v>
      </c>
      <c r="F23" s="9">
        <f>IFERROR(MIN(C23,D23)*E23/C23,0)</f>
        <v/>
      </c>
      <c r="G23" s="9" t="n"/>
    </row>
    <row r="24" ht="14.15" customHeight="1">
      <c r="A24" s="7" t="n">
        <v>9</v>
      </c>
      <c r="B24" s="8" t="inlineStr">
        <is>
          <t>Micrometer</t>
        </is>
      </c>
      <c r="C24" s="9" t="n">
        <v>5</v>
      </c>
      <c r="D24" s="9" t="n">
        <v>0</v>
      </c>
      <c r="E24" s="9" t="n">
        <v>4</v>
      </c>
      <c r="F24" s="9">
        <f>IFERROR(MIN(C24,D24)*E24/C24,0)</f>
        <v/>
      </c>
      <c r="G24" s="9" t="n"/>
    </row>
    <row r="25" ht="14.15" customHeight="1">
      <c r="A25" s="7" t="n">
        <v>10</v>
      </c>
      <c r="B25" s="8" t="inlineStr">
        <is>
          <t>Tool Grinding Machine</t>
        </is>
      </c>
      <c r="C25" s="9" t="n">
        <v>1</v>
      </c>
      <c r="D25" s="9" t="n">
        <v>0</v>
      </c>
      <c r="E25" s="9" t="n">
        <v>6</v>
      </c>
      <c r="F25" s="9">
        <f>IFERROR(MIN(C25,D25)*E25/C25,0)</f>
        <v/>
      </c>
      <c r="G25" s="9" t="n"/>
    </row>
    <row r="26" ht="14.15" customHeight="1">
      <c r="A26" s="7" t="n">
        <v>11</v>
      </c>
      <c r="B26" s="8" t="inlineStr">
        <is>
          <t>Clamping Device</t>
        </is>
      </c>
      <c r="C26" s="9" t="n">
        <v>2</v>
      </c>
      <c r="D26" s="9" t="n">
        <v>0</v>
      </c>
      <c r="E26" s="9" t="n">
        <v>4</v>
      </c>
      <c r="F26" s="9">
        <f>IFERROR(MIN(C26,D26)*E26/C26,0)</f>
        <v/>
      </c>
      <c r="G26" s="9" t="inlineStr">
        <is>
          <t>2 Set</t>
        </is>
      </c>
    </row>
    <row r="27" ht="14.15" customHeight="1">
      <c r="A27" s="7" t="n">
        <v>12</v>
      </c>
      <c r="B27" s="8" t="inlineStr">
        <is>
          <t>Machine vice</t>
        </is>
      </c>
      <c r="C27" s="9" t="n">
        <v>1</v>
      </c>
      <c r="D27" s="9" t="n">
        <v>0</v>
      </c>
      <c r="E27" s="9" t="n">
        <v>4</v>
      </c>
      <c r="F27" s="9">
        <f>IFERROR(MIN(C27,D27)*E27/C27,0)</f>
        <v/>
      </c>
      <c r="G27" s="9" t="n"/>
    </row>
    <row r="28" ht="14.15" customHeight="1">
      <c r="A28" s="7" t="n">
        <v>13</v>
      </c>
      <c r="B28" s="8" t="inlineStr">
        <is>
          <t>Hand grinding machine</t>
        </is>
      </c>
      <c r="C28" s="9" t="n">
        <v>1</v>
      </c>
      <c r="D28" s="9" t="n">
        <v>0</v>
      </c>
      <c r="E28" s="9" t="n">
        <v>5</v>
      </c>
      <c r="F28" s="9">
        <f>IFERROR(MIN(C28,D28)*E28/C28,0)</f>
        <v/>
      </c>
      <c r="G28" s="9" t="n"/>
    </row>
    <row r="29">
      <c r="A29" s="10" t="inlineStr">
        <is>
          <t>Sum</t>
        </is>
      </c>
      <c r="B29" s="11" t="n"/>
      <c r="C29" s="11" t="n"/>
      <c r="D29" s="12" t="n"/>
      <c r="E29" s="10">
        <f>SUM(E16:E28)</f>
        <v/>
      </c>
      <c r="F29" s="10">
        <f>SUM(F16:F28)</f>
        <v/>
      </c>
      <c r="G29" s="13" t="n"/>
    </row>
    <row r="30">
      <c r="A30" s="10" t="inlineStr">
        <is>
          <t>Score out of 100</t>
        </is>
      </c>
      <c r="B30" s="11" t="n"/>
      <c r="C30" s="11" t="n"/>
      <c r="D30" s="11" t="n"/>
      <c r="E30" s="12" t="n"/>
      <c r="F30" s="10">
        <f>F29/E29*100</f>
        <v/>
      </c>
      <c r="G30" s="13" t="n"/>
    </row>
    <row r="31" ht="9.75" customHeight="1"/>
    <row r="32">
      <c r="A32" s="10" t="inlineStr">
        <is>
          <t xml:space="preserve">Total achieved points out of 30  </t>
        </is>
      </c>
      <c r="B32" s="11" t="n"/>
      <c r="C32" s="11" t="n"/>
      <c r="D32" s="11" t="n"/>
      <c r="E32" s="12" t="n"/>
      <c r="F32" s="10">
        <f>F30*30/100</f>
        <v/>
      </c>
      <c r="G32" s="10" t="inlineStr">
        <is>
          <t>Points</t>
        </is>
      </c>
    </row>
  </sheetData>
  <mergeCells count="8">
    <mergeCell ref="A30:E30"/>
    <mergeCell ref="A13:G13"/>
    <mergeCell ref="C7:G7"/>
    <mergeCell ref="A1:G1"/>
    <mergeCell ref="A31:G31"/>
    <mergeCell ref="A29:D29"/>
    <mergeCell ref="A32:E32"/>
    <mergeCell ref="C8:G8"/>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2026-08-17T07:23:46Z</dcterms:created>
  <dcterms:modified xmlns:dcterms="http://purl.org/dc/terms/" xmlns:xsi="http://www.w3.org/2001/XMLSchema-instance" xsi:type="dcterms:W3CDTF">2026-08-31T10:08:40Z</dcterms:modified>
</cp:coreProperties>
</file>
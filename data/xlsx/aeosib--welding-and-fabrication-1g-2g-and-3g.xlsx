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Welding 1G 2G 3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sz val="11"/>
    </font>
  </fonts>
  <fills count="3">
    <fill>
      <patternFill/>
    </fill>
    <fill>
      <patternFill patternType="gray125"/>
    </fill>
    <fill>
      <patternFill patternType="solid">
        <fgColor rgb="FFD9D9D9"/>
        <bgColor rgb="FFC0C0C0"/>
      </patternFill>
    </fill>
  </fills>
  <borders count="7">
    <border>
      <left/>
      <right/>
      <top/>
      <bottom/>
      <diagonal/>
    </border>
    <border>
      <left style="thin"/>
      <right style="thin"/>
      <top style="thin"/>
      <bottom style="thin"/>
      <diagonal/>
    </border>
    <border>
      <left style="thin"/>
      <right/>
      <top style="thin"/>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0" fillId="0" borderId="4" pivotButton="0" quotePrefix="0" xfId="0"/>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6" pivotButton="0" quotePrefix="0" xfId="0"/>
    <xf numFmtId="0" fontId="5" fillId="0" borderId="1" applyAlignment="1" pivotButton="0" quotePrefix="0" xfId="0">
      <alignment horizontal="general" vertical="bottom"/>
    </xf>
    <xf numFmtId="0" fontId="0" fillId="0" borderId="0" applyAlignment="1" pivotButton="0" quotePrefix="0" xfId="0">
      <alignment horizontal="general" vertical="bottom" wrapText="1"/>
    </xf>
    <xf numFmtId="0" fontId="7"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8" activeCellId="0" sqref="C8"/>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Welding and Fabrication (1G, 2G &amp; 3G)</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Welding and Fabrication (1G, 2G &amp; 3G)</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and Fabrication (1G, 2G &amp; 3G),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Computers/ Laptop</t>
        </is>
      </c>
      <c r="C16" s="27" t="n">
        <v>1</v>
      </c>
      <c r="D16" s="27" t="n">
        <v>0</v>
      </c>
      <c r="E16" s="27" t="n">
        <v>5</v>
      </c>
      <c r="F16" s="27">
        <f>IFERROR(MIN(C16,D16)*E16/C16,0)</f>
        <v/>
      </c>
      <c r="G16" s="27" t="n"/>
    </row>
    <row r="17" ht="13.5" customHeight="1" s="16">
      <c r="A17" s="25" t="n">
        <v>2</v>
      </c>
      <c r="B17" s="26" t="inlineStr">
        <is>
          <t>Multimedia Projector</t>
        </is>
      </c>
      <c r="C17" s="27" t="n">
        <v>1</v>
      </c>
      <c r="D17" s="27" t="n">
        <v>0</v>
      </c>
      <c r="E17" s="27" t="n">
        <v>5</v>
      </c>
      <c r="F17" s="27">
        <f>IFERROR(MIN(C17,D17)*E17/C17,0)</f>
        <v/>
      </c>
      <c r="G17" s="27" t="n"/>
    </row>
    <row r="18" ht="13.5" customHeight="1" s="16">
      <c r="A18" s="25" t="n">
        <v>3</v>
      </c>
      <c r="B18" s="26" t="inlineStr">
        <is>
          <t>Internet connectivity</t>
        </is>
      </c>
      <c r="C18" s="27" t="n">
        <v>1</v>
      </c>
      <c r="D18" s="27" t="n">
        <v>0</v>
      </c>
      <c r="E18" s="27" t="n">
        <v>5</v>
      </c>
      <c r="F18" s="27">
        <f>IFERROR(MIN(C18,D18)*E18/C18,0)</f>
        <v/>
      </c>
      <c r="G18" s="27" t="n"/>
    </row>
    <row r="19" ht="13.5" customHeight="1" s="16">
      <c r="A19" s="25" t="n">
        <v>4</v>
      </c>
      <c r="B19" s="26" t="inlineStr">
        <is>
          <t>AC/DC Arc welding machine</t>
        </is>
      </c>
      <c r="C19" s="27" t="n">
        <v>10</v>
      </c>
      <c r="D19" s="27" t="n">
        <v>0</v>
      </c>
      <c r="E19" s="27" t="n">
        <v>9</v>
      </c>
      <c r="F19" s="27">
        <f>IFERROR(MIN(C19,D19)*E19/C19,0)</f>
        <v/>
      </c>
      <c r="G19" s="27" t="n"/>
    </row>
    <row r="20" ht="13.5" customHeight="1" s="16">
      <c r="A20" s="25" t="n">
        <v>5</v>
      </c>
      <c r="B20" s="26" t="inlineStr">
        <is>
          <t>Gas welding set</t>
        </is>
      </c>
      <c r="C20" s="27" t="n">
        <v>3</v>
      </c>
      <c r="D20" s="27" t="n">
        <v>0</v>
      </c>
      <c r="E20" s="27" t="n">
        <v>8</v>
      </c>
      <c r="F20" s="27">
        <f>IFERROR(MIN(C20,D20)*E20/C20,0)</f>
        <v/>
      </c>
      <c r="G20" s="27" t="n"/>
    </row>
    <row r="21" ht="13.5" customHeight="1" s="16">
      <c r="A21" s="25" t="n">
        <v>6</v>
      </c>
      <c r="B21" s="26" t="inlineStr">
        <is>
          <t>MIG welding machine</t>
        </is>
      </c>
      <c r="C21" s="27" t="n">
        <v>2</v>
      </c>
      <c r="D21" s="27" t="n">
        <v>0</v>
      </c>
      <c r="E21" s="27" t="n">
        <v>9</v>
      </c>
      <c r="F21" s="27">
        <f>IFERROR(MIN(C21,D21)*E21/C21,0)</f>
        <v/>
      </c>
      <c r="G21" s="27" t="n"/>
    </row>
    <row r="22" ht="13.5" customHeight="1" s="16">
      <c r="A22" s="25" t="n">
        <v>7</v>
      </c>
      <c r="B22" s="26" t="inlineStr">
        <is>
          <t>TIG welding machine</t>
        </is>
      </c>
      <c r="C22" s="27" t="n">
        <v>2</v>
      </c>
      <c r="D22" s="27" t="n">
        <v>0</v>
      </c>
      <c r="E22" s="27" t="n">
        <v>9</v>
      </c>
      <c r="F22" s="27">
        <f>IFERROR(MIN(C22,D22)*E22/C22,0)</f>
        <v/>
      </c>
      <c r="G22" s="27" t="n"/>
    </row>
    <row r="23" ht="13.5" customHeight="1" s="16">
      <c r="A23" s="25" t="n">
        <v>8</v>
      </c>
      <c r="B23" s="26" t="inlineStr">
        <is>
          <t>Gas cutting set</t>
        </is>
      </c>
      <c r="C23" s="27" t="n">
        <v>2</v>
      </c>
      <c r="D23" s="27" t="n">
        <v>0</v>
      </c>
      <c r="E23" s="27" t="n">
        <v>8</v>
      </c>
      <c r="F23" s="27">
        <f>IFERROR(MIN(C23,D23)*E23/C23,0)</f>
        <v/>
      </c>
      <c r="G23" s="27" t="n"/>
    </row>
    <row r="24" ht="13.5" customHeight="1" s="16">
      <c r="A24" s="25" t="n">
        <v>9</v>
      </c>
      <c r="B24" s="26" t="inlineStr">
        <is>
          <t>Spare cylinder set (Argon, oxygen and acetylene)</t>
        </is>
      </c>
      <c r="C24" s="27" t="n">
        <v>1</v>
      </c>
      <c r="D24" s="27" t="n">
        <v>0</v>
      </c>
      <c r="E24" s="27" t="n">
        <v>6</v>
      </c>
      <c r="F24" s="27">
        <f>IFERROR(MIN(C24,D24)*E24/C24,0)</f>
        <v/>
      </c>
      <c r="G24" s="27" t="n"/>
    </row>
    <row r="25" ht="13.5" customHeight="1" s="16">
      <c r="A25" s="25" t="n">
        <v>10</v>
      </c>
      <c r="B25" s="26" t="inlineStr">
        <is>
          <t>Power grinding machine</t>
        </is>
      </c>
      <c r="C25" s="27" t="n">
        <v>1</v>
      </c>
      <c r="D25" s="27" t="n">
        <v>0</v>
      </c>
      <c r="E25" s="27" t="n">
        <v>6</v>
      </c>
      <c r="F25" s="27">
        <f>IFERROR(MIN(C25,D25)*E25/C25,0)</f>
        <v/>
      </c>
      <c r="G25" s="27" t="n"/>
    </row>
    <row r="26" ht="13.5" customHeight="1" s="16">
      <c r="A26" s="25" t="n">
        <v>11</v>
      </c>
      <c r="B26" s="26" t="inlineStr">
        <is>
          <t>Hand grinding machine</t>
        </is>
      </c>
      <c r="C26" s="27" t="n">
        <v>4</v>
      </c>
      <c r="D26" s="27" t="n">
        <v>0</v>
      </c>
      <c r="E26" s="27" t="n">
        <v>6</v>
      </c>
      <c r="F26" s="27">
        <f>IFERROR(MIN(C26,D26)*E26/C26,0)</f>
        <v/>
      </c>
      <c r="G26" s="27" t="n"/>
    </row>
    <row r="27" ht="13.5" customHeight="1" s="16">
      <c r="A27" s="25" t="n">
        <v>12</v>
      </c>
      <c r="B27" s="26" t="inlineStr">
        <is>
          <t>Bench vice</t>
        </is>
      </c>
      <c r="C27" s="27" t="n">
        <v>10</v>
      </c>
      <c r="D27" s="27" t="n">
        <v>0</v>
      </c>
      <c r="E27" s="27" t="n">
        <v>5</v>
      </c>
      <c r="F27" s="27">
        <f>IFERROR(MIN(C27,D27)*E27/C27,0)</f>
        <v/>
      </c>
      <c r="G27" s="27" t="n"/>
    </row>
    <row r="28" ht="13.5" customHeight="1" s="16">
      <c r="A28" s="25" t="n">
        <v>13</v>
      </c>
      <c r="B28" s="26" t="inlineStr">
        <is>
          <t>Tool box set for welding workshop</t>
        </is>
      </c>
      <c r="C28" s="27" t="n">
        <v>10</v>
      </c>
      <c r="D28" s="27" t="n">
        <v>0</v>
      </c>
      <c r="E28" s="27" t="n">
        <v>5</v>
      </c>
      <c r="F28" s="27">
        <f>IFERROR(MIN(C28,D28)*E28/C28,0)</f>
        <v/>
      </c>
      <c r="G28" s="27" t="n"/>
    </row>
    <row r="29" ht="13.5" customHeight="1" s="16">
      <c r="A29" s="25" t="n">
        <v>14</v>
      </c>
      <c r="B29" s="26" t="inlineStr">
        <is>
          <t>Fire extinguisher</t>
        </is>
      </c>
      <c r="C29" s="27" t="n">
        <v>4</v>
      </c>
      <c r="D29" s="27" t="n">
        <v>0</v>
      </c>
      <c r="E29" s="27" t="n">
        <v>4</v>
      </c>
      <c r="F29" s="27">
        <f>IFERROR(MIN(C29,D29)*E29/C29,0)</f>
        <v/>
      </c>
      <c r="G29" s="27" t="n"/>
    </row>
    <row r="30" ht="13.5" customHeight="1" s="16">
      <c r="A30" s="25" t="n">
        <v>15</v>
      </c>
      <c r="B30" s="26" t="inlineStr">
        <is>
          <t>Welding booth with exhaust system</t>
        </is>
      </c>
      <c r="C30" s="27" t="n">
        <v>10</v>
      </c>
      <c r="D30" s="27" t="n">
        <v>0</v>
      </c>
      <c r="E30" s="27" t="n">
        <v>7</v>
      </c>
      <c r="F30" s="27">
        <f>IFERROR(MIN(C30,D30)*E30/C30,0)</f>
        <v/>
      </c>
      <c r="G30" s="27" t="n"/>
    </row>
    <row r="31" ht="13.5" customHeight="1" s="16">
      <c r="A31" s="25" t="n">
        <v>16</v>
      </c>
      <c r="B31" s="26" t="inlineStr">
        <is>
          <t>First aid box</t>
        </is>
      </c>
      <c r="C31" s="27" t="n">
        <v>3</v>
      </c>
      <c r="D31" s="27" t="n">
        <v>0</v>
      </c>
      <c r="E31" s="27" t="n">
        <v>3</v>
      </c>
      <c r="F31" s="27">
        <f>IFERROR(MIN(C31,D31)*E31/C31,0)</f>
        <v/>
      </c>
      <c r="G31" s="27" t="n"/>
    </row>
    <row r="32" ht="15" customHeight="1" s="16">
      <c r="A32" s="28" t="inlineStr">
        <is>
          <t>Sum</t>
        </is>
      </c>
      <c r="B32" s="21" t="n"/>
      <c r="C32" s="21" t="n"/>
      <c r="D32" s="29" t="n"/>
      <c r="E32" s="28">
        <f>SUM(E16:E31)</f>
        <v/>
      </c>
      <c r="F32" s="28">
        <f>SUM(F16:F31)</f>
        <v/>
      </c>
      <c r="G32" s="30" t="n"/>
    </row>
    <row r="33" ht="15" customHeight="1" s="16">
      <c r="A33" s="28" t="inlineStr">
        <is>
          <t>Score out of 100</t>
        </is>
      </c>
      <c r="B33" s="21" t="n"/>
      <c r="C33" s="21" t="n"/>
      <c r="D33" s="21" t="n"/>
      <c r="E33" s="29" t="n"/>
      <c r="F33" s="28">
        <f>F32/E32*100</f>
        <v/>
      </c>
      <c r="G33" s="30" t="n"/>
    </row>
    <row r="34" ht="9.75" customHeight="1" s="16">
      <c r="A34" s="15" t="n"/>
    </row>
    <row r="35" ht="15" customHeight="1" s="16">
      <c r="A35" s="28" t="inlineStr">
        <is>
          <t xml:space="preserve">Total achieved points out of 30  </t>
        </is>
      </c>
      <c r="B35" s="21" t="n"/>
      <c r="C35" s="21" t="n"/>
      <c r="D35" s="21" t="n"/>
      <c r="E35" s="29" t="n"/>
      <c r="F35" s="28">
        <f>F33*30/100</f>
        <v/>
      </c>
      <c r="G35" s="28" t="inlineStr">
        <is>
          <t>Points</t>
        </is>
      </c>
    </row>
    <row r="36" ht="14.15" customHeight="1" s="16">
      <c r="A36" s="32"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2026-08-17T07:23:45Z</dcterms:created>
  <dcterms:modified xmlns:dcterms="http://purl.org/dc/terms/" xmlns:xsi="http://www.w3.org/2001/XMLSchema-instance" xsi:type="dcterms:W3CDTF">2026-09-23T10:55:18Z</dcterms:modified>
  <cp:revision>1</cp:revision>
</cp:coreProperties>
</file>
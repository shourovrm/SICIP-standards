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7-Supply Chain Mgmt"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6"/>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Supply Chain Management for Footwear and Leather Goods Sector</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Supply Chain Management for Footwear and Leather Goods Sector</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Supply Chain Management for Footwear and Leather Goods Sector,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c r="E16" s="9" t="n">
        <v>5</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ht="14.15" customHeight="1">
      <c r="A18" s="7" t="n">
        <v>3</v>
      </c>
      <c r="B18" s="8" t="inlineStr">
        <is>
          <t>Scanner</t>
        </is>
      </c>
      <c r="C18" s="9" t="n">
        <v>1</v>
      </c>
      <c r="D18" s="9" t="n"/>
      <c r="E18" s="9" t="n">
        <v>5</v>
      </c>
      <c r="F18" s="9">
        <f>IFERROR(MIN(C18,D18)*E18/C18,0)</f>
        <v/>
      </c>
      <c r="G18" s="9" t="n"/>
    </row>
    <row r="19" ht="14.15" customHeight="1">
      <c r="A19" s="7" t="n">
        <v>4</v>
      </c>
      <c r="B19" s="8" t="inlineStr">
        <is>
          <t>Printer</t>
        </is>
      </c>
      <c r="C19" s="9" t="n">
        <v>1</v>
      </c>
      <c r="D19" s="9" t="n"/>
      <c r="E19" s="9" t="n">
        <v>5</v>
      </c>
      <c r="F19" s="9">
        <f>IFERROR(MIN(C19,D19)*E19/C19,0)</f>
        <v/>
      </c>
      <c r="G19" s="9" t="n"/>
    </row>
    <row r="20" ht="14.15" customHeight="1">
      <c r="A20" s="7" t="n">
        <v>5</v>
      </c>
      <c r="B20" s="8" t="inlineStr">
        <is>
          <t>Computer/laptop with planning software (focusing on order management)</t>
        </is>
      </c>
      <c r="C20" s="9" t="n">
        <v>5</v>
      </c>
      <c r="D20" s="9" t="n"/>
      <c r="E20" s="9" t="n">
        <v>8</v>
      </c>
      <c r="F20" s="9">
        <f>IFERROR(MIN(C20,D20)*E20/C20,0)</f>
        <v/>
      </c>
      <c r="G20" s="9" t="n"/>
    </row>
    <row r="21" ht="14.15" customHeight="1">
      <c r="A21" s="7" t="n">
        <v>6</v>
      </c>
      <c r="B21" s="8" t="inlineStr">
        <is>
          <t>Material Swatches and Trims</t>
        </is>
      </c>
      <c r="C21" s="9" t="n"/>
      <c r="D21" s="9" t="n"/>
      <c r="E21" s="9" t="n">
        <v>5</v>
      </c>
      <c r="F21" s="9">
        <f>IFERROR(MIN(C21,D21)*E21/C21,0)</f>
        <v/>
      </c>
      <c r="G21" s="9" t="inlineStr">
        <is>
          <t>As required</t>
        </is>
      </c>
    </row>
    <row r="22" ht="14.15" customHeight="1">
      <c r="A22" s="7" t="n">
        <v>7</v>
      </c>
      <c r="B22" s="8" t="inlineStr">
        <is>
          <t>Display board for footwear</t>
        </is>
      </c>
      <c r="C22" s="9" t="n">
        <v>5</v>
      </c>
      <c r="D22" s="9" t="n"/>
      <c r="E22" s="9" t="n">
        <v>5</v>
      </c>
      <c r="F22" s="9">
        <f>IFERROR(MIN(C22,D22)*E22/C22,0)</f>
        <v/>
      </c>
      <c r="G22" s="9" t="inlineStr">
        <is>
          <t>05 set</t>
        </is>
      </c>
    </row>
    <row r="23" ht="14.15" customHeight="1">
      <c r="A23" s="7" t="n">
        <v>8</v>
      </c>
      <c r="B23" s="8" t="inlineStr">
        <is>
          <t>Leather goods and Footwear sample</t>
        </is>
      </c>
      <c r="C23" s="9" t="n">
        <v>10</v>
      </c>
      <c r="D23" s="9" t="n"/>
      <c r="E23" s="9" t="n">
        <v>6</v>
      </c>
      <c r="F23" s="9">
        <f>IFERROR(MIN(C23,D23)*E23/C23,0)</f>
        <v/>
      </c>
      <c r="G23" s="9" t="n"/>
    </row>
    <row r="24" ht="14.15" customHeight="1">
      <c r="A24" s="7" t="n">
        <v>9</v>
      </c>
      <c r="B24" s="8" t="inlineStr">
        <is>
          <t>Shoe last</t>
        </is>
      </c>
      <c r="C24" s="9" t="n">
        <v>5</v>
      </c>
      <c r="D24" s="9" t="n"/>
      <c r="E24" s="9" t="n">
        <v>7</v>
      </c>
      <c r="F24" s="9">
        <f>IFERROR(MIN(C24,D24)*E24/C24,0)</f>
        <v/>
      </c>
      <c r="G24" s="9" t="n"/>
    </row>
    <row r="25" ht="14.15" customHeight="1">
      <c r="A25" s="7" t="n">
        <v>10</v>
      </c>
      <c r="B25" s="8" t="inlineStr">
        <is>
          <t>Thickness gauge</t>
        </is>
      </c>
      <c r="C25" s="9" t="n">
        <v>5</v>
      </c>
      <c r="D25" s="9" t="n"/>
      <c r="E25" s="9" t="n">
        <v>5</v>
      </c>
      <c r="F25" s="9">
        <f>IFERROR(MIN(C25,D25)*E25/C25,0)</f>
        <v/>
      </c>
      <c r="G25" s="9" t="n"/>
    </row>
    <row r="26" ht="14.15" customHeight="1">
      <c r="A26" s="7" t="n">
        <v>11</v>
      </c>
      <c r="B26" s="8" t="inlineStr">
        <is>
          <t>Measurement tape</t>
        </is>
      </c>
      <c r="C26" s="9" t="n">
        <v>5</v>
      </c>
      <c r="D26" s="9" t="n"/>
      <c r="E26" s="9" t="n">
        <v>4</v>
      </c>
      <c r="F26" s="9">
        <f>IFERROR(MIN(C26,D26)*E26/C26,0)</f>
        <v/>
      </c>
      <c r="G26" s="9" t="n"/>
    </row>
    <row r="27" ht="14.15" customHeight="1">
      <c r="A27" s="7" t="n">
        <v>12</v>
      </c>
      <c r="B27" s="8" t="inlineStr">
        <is>
          <t>Working Table (Minimum 6 feet)</t>
        </is>
      </c>
      <c r="C27" s="9" t="n">
        <v>5</v>
      </c>
      <c r="D27" s="9" t="n"/>
      <c r="E27" s="9" t="n">
        <v>5</v>
      </c>
      <c r="F27" s="9">
        <f>IFERROR(MIN(C27,D27)*E27/C27,0)</f>
        <v/>
      </c>
      <c r="G27" s="9" t="n"/>
    </row>
    <row r="28" ht="14.15" customHeight="1">
      <c r="A28" s="7" t="n">
        <v>13</v>
      </c>
      <c r="B28" s="8" t="inlineStr">
        <is>
          <t>Sample BOM sheet (Tech-pack)</t>
        </is>
      </c>
      <c r="C28" s="9" t="n">
        <v>10</v>
      </c>
      <c r="D28" s="9" t="n"/>
      <c r="E28" s="9" t="n">
        <v>4</v>
      </c>
      <c r="F28" s="9">
        <f>IFERROR(MIN(C28,D28)*E28/C28,0)</f>
        <v/>
      </c>
      <c r="G28" s="9" t="n"/>
    </row>
    <row r="29" ht="14.15" customHeight="1">
      <c r="A29" s="7" t="n">
        <v>14</v>
      </c>
      <c r="B29" s="8" t="inlineStr">
        <is>
          <t>Sample PI, PO and LC sheet</t>
        </is>
      </c>
      <c r="C29" s="9" t="n">
        <v>10</v>
      </c>
      <c r="D29" s="9" t="n"/>
      <c r="E29" s="9" t="n">
        <v>4</v>
      </c>
      <c r="F29" s="9">
        <f>IFERROR(MIN(C29,D29)*E29/C29,0)</f>
        <v/>
      </c>
      <c r="G29" s="9" t="n"/>
    </row>
    <row r="30" ht="14.15" customHeight="1">
      <c r="A30" s="7" t="n">
        <v>15</v>
      </c>
      <c r="B30" s="8" t="inlineStr">
        <is>
          <t>Sample Shipping Documents (Invoice packing list, BL, CO)</t>
        </is>
      </c>
      <c r="C30" s="9" t="n">
        <v>10</v>
      </c>
      <c r="D30" s="9" t="n"/>
      <c r="E30" s="9" t="n">
        <v>4</v>
      </c>
      <c r="F30" s="9">
        <f>IFERROR(MIN(C30,D30)*E30/C30,0)</f>
        <v/>
      </c>
      <c r="G30" s="9" t="n"/>
    </row>
    <row r="31" ht="14.15" customHeight="1">
      <c r="A31" s="7" t="n">
        <v>16</v>
      </c>
      <c r="B31" s="8" t="inlineStr">
        <is>
          <t>Sample Display Rack</t>
        </is>
      </c>
      <c r="C31" s="9" t="n">
        <v>2</v>
      </c>
      <c r="D31" s="9" t="n"/>
      <c r="E31" s="9" t="n">
        <v>4</v>
      </c>
      <c r="F31" s="9">
        <f>IFERROR(MIN(C31,D31)*E31/C31,0)</f>
        <v/>
      </c>
      <c r="G31" s="9" t="n"/>
    </row>
    <row r="32" ht="14.15" customHeight="1">
      <c r="A32" s="7" t="n">
        <v>17</v>
      </c>
      <c r="B32" s="8" t="inlineStr">
        <is>
          <t>Color Shade Card and Pantone Book</t>
        </is>
      </c>
      <c r="C32" s="9" t="n">
        <v>1</v>
      </c>
      <c r="D32" s="9" t="n"/>
      <c r="E32" s="9" t="n">
        <v>4</v>
      </c>
      <c r="F32" s="9">
        <f>IFERROR(MIN(C32,D32)*E32/C32,0)</f>
        <v/>
      </c>
      <c r="G32" s="9" t="n"/>
    </row>
    <row r="33">
      <c r="A33" s="10" t="inlineStr">
        <is>
          <t>Sum</t>
        </is>
      </c>
      <c r="B33" s="11" t="n"/>
      <c r="C33" s="11" t="n"/>
      <c r="D33" s="12" t="n"/>
      <c r="E33" s="10">
        <f>SUM(E16:E32)</f>
        <v/>
      </c>
      <c r="F33" s="10">
        <f>SUM(F16:F32)</f>
        <v/>
      </c>
      <c r="G33" s="13" t="n"/>
    </row>
    <row r="34">
      <c r="A34" s="10" t="inlineStr">
        <is>
          <t>Score out of 100</t>
        </is>
      </c>
      <c r="B34" s="11" t="n"/>
      <c r="C34" s="11" t="n"/>
      <c r="D34" s="11" t="n"/>
      <c r="E34" s="12" t="n"/>
      <c r="F34" s="10">
        <f>F33/E33*100</f>
        <v/>
      </c>
      <c r="G34" s="13" t="n"/>
    </row>
    <row r="35" ht="9.75" customHeight="1"/>
    <row r="36">
      <c r="A36" s="10" t="inlineStr">
        <is>
          <t xml:space="preserve">Total achieved points out of 30  </t>
        </is>
      </c>
      <c r="B36" s="11" t="n"/>
      <c r="C36" s="11" t="n"/>
      <c r="D36" s="11" t="n"/>
      <c r="E36" s="12" t="n"/>
      <c r="F36" s="10">
        <f>F34*30/100</f>
        <v/>
      </c>
      <c r="G36" s="10" t="inlineStr">
        <is>
          <t>Points</t>
        </is>
      </c>
    </row>
  </sheetData>
  <mergeCells count="8">
    <mergeCell ref="A13:G13"/>
    <mergeCell ref="A34:E34"/>
    <mergeCell ref="C7:G7"/>
    <mergeCell ref="A1:G1"/>
    <mergeCell ref="A35:G35"/>
    <mergeCell ref="A33:D33"/>
    <mergeCell ref="A36:E36"/>
    <mergeCell ref="C8:G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2026-08-20T03:29:21Z</dcterms:modified>
</cp:coreProperties>
</file>
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Jute Mill Machinery Main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b val="1"/>
      <sz val="14"/>
    </font>
    <font>
      <name val="Arial"/>
      <b val="1"/>
      <sz val="11"/>
    </font>
    <font>
      <name val="Arial"/>
      <sz val="11"/>
    </font>
  </fonts>
  <fills count="4">
    <fill>
      <patternFill/>
    </fill>
    <fill>
      <patternFill patternType="gray125"/>
    </fill>
    <fill>
      <patternFill patternType="solid">
        <fgColor rgb="FFD9D9D9"/>
        <bgColor rgb="FFC0C0C0"/>
      </patternFill>
    </fill>
    <fill>
      <patternFill patternType="solid">
        <fgColor rgb="FFD9D9D9"/>
      </patternFill>
    </fill>
  </fills>
  <borders count="8">
    <border>
      <left/>
      <right/>
      <top/>
      <bottom/>
      <diagonal/>
    </border>
    <border>
      <left style="thin"/>
      <right style="thin"/>
      <top style="thin"/>
      <bottom style="thin"/>
      <diagonal/>
    </border>
    <border>
      <left style="thin"/>
      <right/>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5" fillId="0" borderId="0" applyAlignment="1" pivotButton="0" quotePrefix="0" xfId="0">
      <alignment horizontal="general" vertical="bottom"/>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0" fillId="0" borderId="5" pivotButton="0" quotePrefix="0" xfId="0"/>
    <xf numFmtId="0" fontId="0" fillId="0" borderId="6" pivotButton="0" quotePrefix="0" xfId="0"/>
    <xf numFmtId="0" fontId="5" fillId="0" borderId="1"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5"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7" fillId="0" borderId="0" applyAlignment="1" pivotButton="0" quotePrefix="0" xfId="0">
      <alignment horizontal="center" vertical="bottom"/>
    </xf>
    <xf numFmtId="0" fontId="8" fillId="0" borderId="7" applyAlignment="1" pivotButton="0" quotePrefix="0" xfId="0">
      <alignment horizontal="center" vertical="center" wrapText="1"/>
    </xf>
    <xf numFmtId="0" fontId="8" fillId="0" borderId="0" pivotButton="0" quotePrefix="0" xfId="0"/>
    <xf numFmtId="0" fontId="8" fillId="0" borderId="7" applyAlignment="1" pivotButton="0" quotePrefix="0" xfId="0">
      <alignment horizontal="left" vertical="center" wrapText="1"/>
    </xf>
    <xf numFmtId="0" fontId="9" fillId="0" borderId="0" applyAlignment="1" pivotButton="0" quotePrefix="0" xfId="0">
      <alignment horizontal="left" vertical="top" wrapText="1"/>
    </xf>
    <xf numFmtId="0" fontId="8" fillId="3" borderId="7" applyAlignment="1" pivotButton="0" quotePrefix="0" xfId="0">
      <alignment horizontal="center" vertical="center" wrapText="1"/>
    </xf>
    <xf numFmtId="0" fontId="9" fillId="0" borderId="7" applyAlignment="1" pivotButton="0" quotePrefix="0" xfId="0">
      <alignment horizontal="center" vertical="center"/>
    </xf>
    <xf numFmtId="0" fontId="9" fillId="0" borderId="7" applyAlignment="1" pivotButton="0" quotePrefix="0" xfId="0">
      <alignment horizontal="left" vertical="top" wrapText="1"/>
    </xf>
    <xf numFmtId="0" fontId="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51"/>
  <sheetViews>
    <sheetView showFormulas="0" showGridLines="1" showRowColHeaders="1" showZeros="1" rightToLeft="0" tabSelected="0" showOutlineSymbols="1" defaultGridColor="1" view="normal" topLeftCell="A16" colorId="64" zoomScale="100" zoomScaleNormal="100" zoomScalePageLayoutView="100" workbookViewId="0">
      <selection pane="topLeft" activeCell="K45" activeCellId="0" sqref="K45"/>
    </sheetView>
  </sheetViews>
  <sheetFormatPr baseColWidth="8" defaultColWidth="8.6796875" defaultRowHeight="15" customHeight="0" zeroHeight="0" outlineLevelRow="0"/>
  <cols>
    <col width="15.17" customWidth="1" style="19" min="1" max="1"/>
    <col width="33.13" customWidth="1" style="19" min="2" max="2"/>
    <col width="13.72" customWidth="1" style="19" min="3" max="7"/>
  </cols>
  <sheetData>
    <row r="1" ht="17.25" customHeight="1" s="20">
      <c r="A1" s="21" t="inlineStr">
        <is>
          <t>Course-wise Training Infrastructure and Facilities</t>
        </is>
      </c>
    </row>
    <row r="3" ht="26.25" customHeight="1" s="20">
      <c r="A3" s="22" t="inlineStr">
        <is>
          <t>Course Name:</t>
        </is>
      </c>
      <c r="B3" s="22" t="inlineStr">
        <is>
          <t>Maintenance of Jute Mills Machinery</t>
        </is>
      </c>
    </row>
    <row r="4" ht="26.25" customHeight="1" s="20">
      <c r="A4" s="22" t="inlineStr">
        <is>
          <t>Number of Trainees:</t>
        </is>
      </c>
      <c r="B4" s="22" t="n">
        <v>30</v>
      </c>
    </row>
    <row r="6" ht="15" customHeight="1" s="20">
      <c r="A6" s="23" t="inlineStr">
        <is>
          <t>Course-wise Training Space (Theoretical Classroom, Workshop/ Lab/ Classroom cum Workshop)</t>
        </is>
      </c>
    </row>
    <row r="7" ht="15" customHeight="1" s="20">
      <c r="B7" s="22" t="inlineStr">
        <is>
          <t>Course Name</t>
        </is>
      </c>
      <c r="C7" s="34" t="inlineStr">
        <is>
          <t>SICIP required space for 30 trainees</t>
        </is>
      </c>
      <c r="D7" s="24" t="n"/>
      <c r="E7" s="24" t="n"/>
      <c r="F7" s="24" t="n"/>
      <c r="G7" s="24" t="n"/>
    </row>
    <row r="8" ht="51.75" customHeight="1" s="20">
      <c r="B8" s="22" t="inlineStr">
        <is>
          <t>Maintenance of Jute Mills Machinery</t>
        </is>
      </c>
      <c r="C8" s="35" t="inlineStr">
        <is>
          <t>Classroom – 350 sft (33 sqm)
Workshop/ lab – 800 sft (75 sqm)
                     OR
Classroom cum workshop – 1000 sft (93 sqm)</t>
        </is>
      </c>
      <c r="D8" s="24" t="n"/>
      <c r="E8" s="24" t="n"/>
      <c r="F8" s="24" t="n"/>
      <c r="G8" s="24" t="n"/>
    </row>
    <row r="11" ht="15" customHeight="1" s="20">
      <c r="A11" s="23" t="inlineStr">
        <is>
          <t>Major Training Equipment and Training Facilities</t>
        </is>
      </c>
    </row>
    <row r="13" ht="115.5" customHeight="1" s="20">
      <c r="A13" s="27"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Maintenance of Jute Mills Machinery,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30 trainees. Also, they will arrange adequate seating arrangement and classroom setup for the 30 trainees.</t>
        </is>
      </c>
    </row>
    <row r="15" ht="26.25" customHeight="1" s="20">
      <c r="A15" s="28" t="inlineStr">
        <is>
          <t>S.N.</t>
        </is>
      </c>
      <c r="B15" s="28" t="inlineStr">
        <is>
          <t>Major Equipment and Training facilities</t>
        </is>
      </c>
      <c r="C15" s="28" t="inlineStr">
        <is>
          <t>Required facilities</t>
        </is>
      </c>
      <c r="D15" s="28" t="inlineStr">
        <is>
          <t>Available facilities</t>
        </is>
      </c>
      <c r="E15" s="28" t="inlineStr">
        <is>
          <t>Weights
(out of 10)</t>
        </is>
      </c>
      <c r="F15" s="28" t="inlineStr">
        <is>
          <t>Weighted scores</t>
        </is>
      </c>
      <c r="G15" s="28" t="inlineStr">
        <is>
          <t>Remarks</t>
        </is>
      </c>
    </row>
    <row r="16" ht="13.5" customHeight="1" s="20">
      <c r="A16" s="29" t="n">
        <v>1</v>
      </c>
      <c r="B16" s="30" t="inlineStr">
        <is>
          <t>Desktop Computers</t>
        </is>
      </c>
      <c r="C16" s="31" t="n">
        <v>1</v>
      </c>
      <c r="D16" s="31" t="n">
        <v>0</v>
      </c>
      <c r="E16" s="31" t="n">
        <v>5</v>
      </c>
      <c r="F16" s="31">
        <f>IFERROR(MIN(C16,D16)*E16/C16,0)</f>
        <v/>
      </c>
      <c r="G16" s="31" t="n"/>
    </row>
    <row r="17" ht="13.5" customHeight="1" s="20">
      <c r="A17" s="29" t="n">
        <v>2</v>
      </c>
      <c r="B17" s="30" t="inlineStr">
        <is>
          <t>Instructor Computer/Laptop</t>
        </is>
      </c>
      <c r="C17" s="31" t="n">
        <v>1</v>
      </c>
      <c r="D17" s="31" t="n">
        <v>0</v>
      </c>
      <c r="E17" s="31" t="n">
        <v>5</v>
      </c>
      <c r="F17" s="31">
        <f>IFERROR(MIN(C17,D17)*E17/C17,0)</f>
        <v/>
      </c>
      <c r="G17" s="31" t="n"/>
    </row>
    <row r="18" ht="13.5" customHeight="1" s="20">
      <c r="A18" s="29" t="n">
        <v>3</v>
      </c>
      <c r="B18" s="30" t="inlineStr">
        <is>
          <t>Multimedia Projector</t>
        </is>
      </c>
      <c r="C18" s="31" t="n">
        <v>1</v>
      </c>
      <c r="D18" s="31" t="n">
        <v>0</v>
      </c>
      <c r="E18" s="31" t="n">
        <v>5</v>
      </c>
      <c r="F18" s="31">
        <f>IFERROR(MIN(C18,D18)*E18/C18,0)</f>
        <v/>
      </c>
      <c r="G18" s="31" t="n"/>
    </row>
    <row r="19" ht="13.5" customHeight="1" s="20">
      <c r="A19" s="29" t="n">
        <v>4</v>
      </c>
      <c r="B19" s="30" t="inlineStr">
        <is>
          <t>Whiteboard and markers</t>
        </is>
      </c>
      <c r="C19" s="31" t="n">
        <v>1</v>
      </c>
      <c r="D19" s="31" t="n">
        <v>0</v>
      </c>
      <c r="E19" s="31" t="n">
        <v>3</v>
      </c>
      <c r="F19" s="31">
        <f>IFERROR(MIN(C19,D19)*E19/C19,0)</f>
        <v/>
      </c>
      <c r="G19" s="31" t="n"/>
    </row>
    <row r="20" ht="13.5" customHeight="1" s="20">
      <c r="A20" s="29" t="n">
        <v>5</v>
      </c>
      <c r="B20" s="30" t="inlineStr">
        <is>
          <t>Flip chart stands with paper</t>
        </is>
      </c>
      <c r="C20" s="31" t="n">
        <v>1</v>
      </c>
      <c r="D20" s="31" t="n">
        <v>0</v>
      </c>
      <c r="E20" s="31" t="n">
        <v>3</v>
      </c>
      <c r="F20" s="31">
        <f>IFERROR(MIN(C20,D20)*E20/C20,0)</f>
        <v/>
      </c>
      <c r="G20" s="31" t="n"/>
    </row>
    <row r="21" ht="13.5" customHeight="1" s="20">
      <c r="A21" s="29" t="n">
        <v>6</v>
      </c>
      <c r="B21" s="30" t="inlineStr">
        <is>
          <t>Printer</t>
        </is>
      </c>
      <c r="C21" s="31" t="n">
        <v>1</v>
      </c>
      <c r="D21" s="31" t="n">
        <v>0</v>
      </c>
      <c r="E21" s="31" t="n">
        <v>5</v>
      </c>
      <c r="F21" s="31">
        <f>IFERROR(MIN(C21,D21)*E21/C21,0)</f>
        <v/>
      </c>
      <c r="G21" s="31" t="n"/>
    </row>
    <row r="22" ht="13.5" customHeight="1" s="20">
      <c r="A22" s="29" t="n">
        <v>7</v>
      </c>
      <c r="B22" s="30" t="inlineStr">
        <is>
          <t>Scanner</t>
        </is>
      </c>
      <c r="C22" s="31" t="n">
        <v>1</v>
      </c>
      <c r="D22" s="31" t="n">
        <v>0</v>
      </c>
      <c r="E22" s="31" t="n">
        <v>5</v>
      </c>
      <c r="F22" s="31">
        <f>IFERROR(MIN(C22,D22)*E22/C22,0)</f>
        <v/>
      </c>
      <c r="G22" s="31" t="n"/>
    </row>
    <row r="23" ht="13.5" customHeight="1" s="20">
      <c r="A23" s="29" t="n">
        <v>8</v>
      </c>
      <c r="B23" s="30" t="inlineStr">
        <is>
          <t>Dust shaker machine</t>
        </is>
      </c>
      <c r="C23" s="31" t="n">
        <v>1</v>
      </c>
      <c r="D23" s="31" t="n">
        <v>0</v>
      </c>
      <c r="E23" s="31" t="n">
        <v>6</v>
      </c>
      <c r="F23" s="31">
        <f>IFERROR(MIN(C23,D23)*E23/C23,0)</f>
        <v/>
      </c>
      <c r="G23" s="31" t="n"/>
    </row>
    <row r="24" ht="13.5" customHeight="1" s="20">
      <c r="A24" s="29" t="n">
        <v>9</v>
      </c>
      <c r="B24" s="30" t="inlineStr">
        <is>
          <t>Emulsion plant</t>
        </is>
      </c>
      <c r="C24" s="31" t="n">
        <v>1</v>
      </c>
      <c r="D24" s="31" t="n">
        <v>0</v>
      </c>
      <c r="E24" s="31" t="n">
        <v>6</v>
      </c>
      <c r="F24" s="31">
        <f>IFERROR(MIN(C24,D24)*E24/C24,0)</f>
        <v/>
      </c>
      <c r="G24" s="31" t="n"/>
    </row>
    <row r="25" ht="13.5" customHeight="1" s="20">
      <c r="A25" s="29" t="n">
        <v>10</v>
      </c>
      <c r="B25" s="30" t="inlineStr">
        <is>
          <t>Softener</t>
        </is>
      </c>
      <c r="C25" s="31" t="n">
        <v>1</v>
      </c>
      <c r="D25" s="31" t="n">
        <v>0</v>
      </c>
      <c r="E25" s="31" t="n">
        <v>6</v>
      </c>
      <c r="F25" s="31">
        <f>IFERROR(MIN(C25,D25)*E25/C25,0)</f>
        <v/>
      </c>
      <c r="G25" s="31" t="n"/>
    </row>
    <row r="26" ht="13.5" customHeight="1" s="20">
      <c r="A26" s="29" t="n">
        <v>11</v>
      </c>
      <c r="B26" s="30" t="inlineStr">
        <is>
          <t>Spaeder</t>
        </is>
      </c>
      <c r="C26" s="31" t="n">
        <v>1</v>
      </c>
      <c r="D26" s="31" t="n">
        <v>0</v>
      </c>
      <c r="E26" s="31" t="n">
        <v>6</v>
      </c>
      <c r="F26" s="31">
        <f>IFERROR(MIN(C26,D26)*E26/C26,0)</f>
        <v/>
      </c>
      <c r="G26" s="31" t="n"/>
    </row>
    <row r="27" ht="13.5" customHeight="1" s="20">
      <c r="A27" s="29" t="n">
        <v>12</v>
      </c>
      <c r="B27" s="30" t="inlineStr">
        <is>
          <t>Breaker Card machine</t>
        </is>
      </c>
      <c r="C27" s="31" t="n">
        <v>1</v>
      </c>
      <c r="D27" s="31" t="n">
        <v>0</v>
      </c>
      <c r="E27" s="31" t="n">
        <v>9</v>
      </c>
      <c r="F27" s="31">
        <f>IFERROR(MIN(C27,D27)*E27/C27,0)</f>
        <v/>
      </c>
      <c r="G27" s="31" t="n"/>
    </row>
    <row r="28" ht="13.5" customHeight="1" s="20">
      <c r="A28" s="29" t="n">
        <v>13</v>
      </c>
      <c r="B28" s="30" t="inlineStr">
        <is>
          <t>Finisher Card machine</t>
        </is>
      </c>
      <c r="C28" s="31" t="n">
        <v>1</v>
      </c>
      <c r="D28" s="31" t="n">
        <v>0</v>
      </c>
      <c r="E28" s="31" t="n">
        <v>9</v>
      </c>
      <c r="F28" s="31">
        <f>IFERROR(MIN(C28,D28)*E28/C28,0)</f>
        <v/>
      </c>
      <c r="G28" s="31" t="n"/>
    </row>
    <row r="29" ht="13.5" customHeight="1" s="20">
      <c r="A29" s="29" t="n">
        <v>14</v>
      </c>
      <c r="B29" s="30" t="inlineStr">
        <is>
          <t>Drawing Machine</t>
        </is>
      </c>
      <c r="C29" s="31" t="n">
        <v>1</v>
      </c>
      <c r="D29" s="31" t="n">
        <v>0</v>
      </c>
      <c r="E29" s="31" t="n">
        <v>9</v>
      </c>
      <c r="F29" s="31">
        <f>IFERROR(MIN(C29,D29)*E29/C29,0)</f>
        <v/>
      </c>
      <c r="G29" s="31" t="n"/>
    </row>
    <row r="30" ht="13.5" customHeight="1" s="20">
      <c r="A30" s="29" t="n">
        <v>15</v>
      </c>
      <c r="B30" s="30" t="inlineStr">
        <is>
          <t>Spinning Machine</t>
        </is>
      </c>
      <c r="C30" s="31" t="n">
        <v>1</v>
      </c>
      <c r="D30" s="31" t="n">
        <v>0</v>
      </c>
      <c r="E30" s="31" t="n">
        <v>10</v>
      </c>
      <c r="F30" s="31">
        <f>IFERROR(MIN(C30,D30)*E30/C30,0)</f>
        <v/>
      </c>
      <c r="G30" s="31" t="n"/>
    </row>
    <row r="31" ht="13.5" customHeight="1" s="20">
      <c r="A31" s="29" t="n">
        <v>16</v>
      </c>
      <c r="B31" s="30" t="inlineStr">
        <is>
          <t>Winding Machine</t>
        </is>
      </c>
      <c r="C31" s="31" t="n">
        <v>1</v>
      </c>
      <c r="D31" s="31" t="n">
        <v>0</v>
      </c>
      <c r="E31" s="31" t="n">
        <v>9</v>
      </c>
      <c r="F31" s="31">
        <f>IFERROR(MIN(C31,D31)*E31/C31,0)</f>
        <v/>
      </c>
      <c r="G31" s="31" t="n"/>
    </row>
    <row r="32" ht="13.5" customHeight="1" s="20">
      <c r="A32" s="29" t="n">
        <v>17</v>
      </c>
      <c r="B32" s="30" t="inlineStr">
        <is>
          <t>Beaming</t>
        </is>
      </c>
      <c r="C32" s="31" t="n">
        <v>1</v>
      </c>
      <c r="D32" s="31" t="n">
        <v>0</v>
      </c>
      <c r="E32" s="31" t="n">
        <v>9</v>
      </c>
      <c r="F32" s="31">
        <f>IFERROR(MIN(C32,D32)*E32/C32,0)</f>
        <v/>
      </c>
      <c r="G32" s="31" t="n"/>
    </row>
    <row r="33" ht="13.5" customHeight="1" s="20">
      <c r="A33" s="29" t="n">
        <v>18</v>
      </c>
      <c r="B33" s="30" t="inlineStr">
        <is>
          <t>Weaving Machine</t>
        </is>
      </c>
      <c r="C33" s="31" t="n">
        <v>1</v>
      </c>
      <c r="D33" s="31" t="n">
        <v>0</v>
      </c>
      <c r="E33" s="31" t="n">
        <v>10</v>
      </c>
      <c r="F33" s="31">
        <f>IFERROR(MIN(C33,D33)*E33/C33,0)</f>
        <v/>
      </c>
      <c r="G33" s="31" t="n"/>
    </row>
    <row r="34" ht="13.5" customHeight="1" s="20">
      <c r="A34" s="29" t="n">
        <v>19</v>
      </c>
      <c r="B34" s="30" t="inlineStr">
        <is>
          <t>Inspection machine</t>
        </is>
      </c>
      <c r="C34" s="31" t="n">
        <v>1</v>
      </c>
      <c r="D34" s="31" t="n">
        <v>0</v>
      </c>
      <c r="E34" s="31" t="n">
        <v>7</v>
      </c>
      <c r="F34" s="31">
        <f>IFERROR(MIN(C34,D34)*E34/C34,0)</f>
        <v/>
      </c>
      <c r="G34" s="31" t="n"/>
    </row>
    <row r="35" ht="13.5" customHeight="1" s="20">
      <c r="A35" s="29" t="n">
        <v>20</v>
      </c>
      <c r="B35" s="30" t="inlineStr">
        <is>
          <t>Lapping machine</t>
        </is>
      </c>
      <c r="C35" s="31" t="n">
        <v>1</v>
      </c>
      <c r="D35" s="31" t="n">
        <v>0</v>
      </c>
      <c r="E35" s="31" t="n">
        <v>8</v>
      </c>
      <c r="F35" s="31">
        <f>IFERROR(MIN(C35,D35)*E35/C35,0)</f>
        <v/>
      </c>
      <c r="G35" s="31" t="n"/>
    </row>
    <row r="36" ht="13.5" customHeight="1" s="20">
      <c r="A36" s="29" t="n">
        <v>21</v>
      </c>
      <c r="B36" s="30" t="inlineStr">
        <is>
          <t>Rolling Up</t>
        </is>
      </c>
      <c r="C36" s="31" t="n">
        <v>1</v>
      </c>
      <c r="D36" s="31" t="n">
        <v>0</v>
      </c>
      <c r="E36" s="31" t="n">
        <v>6</v>
      </c>
      <c r="F36" s="31">
        <f>IFERROR(MIN(C36,D36)*E36/C36,0)</f>
        <v/>
      </c>
      <c r="G36" s="31" t="n"/>
    </row>
    <row r="37" ht="13.5" customHeight="1" s="20">
      <c r="A37" s="29" t="n">
        <v>22</v>
      </c>
      <c r="B37" s="30" t="inlineStr">
        <is>
          <t>Cutting Machine</t>
        </is>
      </c>
      <c r="C37" s="31" t="n">
        <v>1</v>
      </c>
      <c r="D37" s="31" t="n">
        <v>0</v>
      </c>
      <c r="E37" s="31" t="n">
        <v>8</v>
      </c>
      <c r="F37" s="31">
        <f>IFERROR(MIN(C37,D37)*E37/C37,0)</f>
        <v/>
      </c>
      <c r="G37" s="31" t="n"/>
    </row>
    <row r="38" ht="13.5" customHeight="1" s="20">
      <c r="A38" s="29" t="n">
        <v>23</v>
      </c>
      <c r="B38" s="30" t="inlineStr">
        <is>
          <t>Sewing Machine (Hemming-01, Herackle-01, Safety Sewing-01, Over Head Dry/ Tar Sewing</t>
        </is>
      </c>
      <c r="C38" s="31" t="n">
        <v>1</v>
      </c>
      <c r="D38" s="31" t="n">
        <v>0</v>
      </c>
      <c r="E38" s="31" t="n">
        <v>7</v>
      </c>
      <c r="F38" s="31">
        <f>IFERROR(MIN(C38,D38)*E38/C38,0)</f>
        <v/>
      </c>
      <c r="G38" s="31" t="n"/>
    </row>
    <row r="39" ht="13.5" customHeight="1" s="20">
      <c r="A39" s="29" t="n">
        <v>24</v>
      </c>
      <c r="B39" s="30" t="inlineStr">
        <is>
          <t>Measuring Steel Tape</t>
        </is>
      </c>
      <c r="C39" s="31" t="n">
        <v>1</v>
      </c>
      <c r="D39" s="31" t="n">
        <v>0</v>
      </c>
      <c r="E39" s="31" t="n">
        <v>3</v>
      </c>
      <c r="F39" s="31">
        <f>IFERROR(MIN(C39,D39)*E39/C39,0)</f>
        <v/>
      </c>
      <c r="G39" s="31" t="n"/>
    </row>
    <row r="40" ht="13.5" customHeight="1" s="20">
      <c r="A40" s="29" t="n">
        <v>25</v>
      </c>
      <c r="B40" s="30" t="inlineStr">
        <is>
          <t>Moisture Meter</t>
        </is>
      </c>
      <c r="C40" s="31" t="n">
        <v>1</v>
      </c>
      <c r="D40" s="31" t="n">
        <v>0</v>
      </c>
      <c r="E40" s="31" t="n">
        <v>5</v>
      </c>
      <c r="F40" s="31">
        <f>IFERROR(MIN(C40,D40)*E40/C40,0)</f>
        <v/>
      </c>
      <c r="G40" s="31" t="n"/>
    </row>
    <row r="41" ht="13.5" customHeight="1" s="20">
      <c r="A41" s="29" t="n">
        <v>26</v>
      </c>
      <c r="B41" s="30" t="inlineStr">
        <is>
          <t>Tucking device</t>
        </is>
      </c>
      <c r="C41" s="31" t="n">
        <v>1</v>
      </c>
      <c r="D41" s="31" t="n">
        <v>0</v>
      </c>
      <c r="E41" s="31" t="n">
        <v>5</v>
      </c>
      <c r="F41" s="31">
        <f>IFERROR(MIN(C41,D41)*E41/C41,0)</f>
        <v/>
      </c>
      <c r="G41" s="31" t="n"/>
    </row>
    <row r="42" ht="13.5" customHeight="1" s="20">
      <c r="A42" s="29" t="n">
        <v>27</v>
      </c>
      <c r="B42" s="30" t="inlineStr">
        <is>
          <t>Loom Dropper</t>
        </is>
      </c>
      <c r="C42" s="31" t="n">
        <v>1</v>
      </c>
      <c r="D42" s="31" t="n">
        <v>0</v>
      </c>
      <c r="E42" s="31" t="n">
        <v>5</v>
      </c>
      <c r="F42" s="31">
        <f>IFERROR(MIN(C42,D42)*E42/C42,0)</f>
        <v/>
      </c>
      <c r="G42" s="31" t="n"/>
    </row>
    <row r="43" ht="13.5" customHeight="1" s="20">
      <c r="A43" s="29" t="n">
        <v>28</v>
      </c>
      <c r="B43" s="30" t="inlineStr">
        <is>
          <t>Heald Wires</t>
        </is>
      </c>
      <c r="C43" s="31" t="n">
        <v>1</v>
      </c>
      <c r="D43" s="31" t="n">
        <v>0</v>
      </c>
      <c r="E43" s="31" t="n">
        <v>4</v>
      </c>
      <c r="F43" s="31">
        <f>IFERROR(MIN(C43,D43)*E43/C43,0)</f>
        <v/>
      </c>
      <c r="G43" s="31" t="n"/>
    </row>
    <row r="44" ht="13.5" customHeight="1" s="20">
      <c r="A44" s="29" t="n">
        <v>29</v>
      </c>
      <c r="B44" s="30" t="inlineStr">
        <is>
          <t>Mechanical kit box</t>
        </is>
      </c>
      <c r="C44" s="31" t="n">
        <v>1</v>
      </c>
      <c r="D44" s="31" t="n">
        <v>0</v>
      </c>
      <c r="E44" s="31" t="n">
        <v>4</v>
      </c>
      <c r="F44" s="31">
        <f>IFERROR(MIN(C44,D44)*E44/C44,0)</f>
        <v/>
      </c>
      <c r="G44" s="31" t="n"/>
    </row>
    <row r="45" ht="13.5" customHeight="1" s="20">
      <c r="A45" s="29" t="n">
        <v>30</v>
      </c>
      <c r="B45" s="30" t="inlineStr">
        <is>
          <t>Digital scale</t>
        </is>
      </c>
      <c r="C45" s="31" t="n">
        <v>1</v>
      </c>
      <c r="D45" s="31" t="n">
        <v>0</v>
      </c>
      <c r="E45" s="31" t="n">
        <v>4</v>
      </c>
      <c r="F45" s="31">
        <f>IFERROR(MIN(C45,D45)*E45/C45,0)</f>
        <v/>
      </c>
      <c r="G45" s="31" t="n"/>
    </row>
    <row r="46" ht="13.5" customHeight="1" s="20">
      <c r="A46" s="29" t="n">
        <v>31</v>
      </c>
      <c r="B46" s="30" t="inlineStr">
        <is>
          <t>First aid kit</t>
        </is>
      </c>
      <c r="C46" s="31" t="n">
        <v>1</v>
      </c>
      <c r="D46" s="31" t="n">
        <v>0</v>
      </c>
      <c r="E46" s="31" t="n">
        <v>3</v>
      </c>
      <c r="F46" s="31">
        <f>IFERROR(MIN(C46,D46)*E46/C46,0)</f>
        <v/>
      </c>
      <c r="G46" s="31" t="n"/>
    </row>
    <row r="47" ht="13.5" customHeight="1" s="20">
      <c r="A47" s="29" t="n">
        <v>32</v>
      </c>
      <c r="B47" s="30" t="inlineStr">
        <is>
          <t>Fire extinguisher (for safety demonstration)</t>
        </is>
      </c>
      <c r="C47" s="31" t="n">
        <v>2</v>
      </c>
      <c r="D47" s="31" t="n">
        <v>0</v>
      </c>
      <c r="E47" s="31" t="n">
        <v>3</v>
      </c>
      <c r="F47" s="31">
        <f>IFERROR(MIN(C47,D47)*E47/C47,0)</f>
        <v/>
      </c>
      <c r="G47" s="31" t="n"/>
    </row>
    <row r="48" ht="15" customHeight="1" s="20">
      <c r="A48" s="32" t="inlineStr">
        <is>
          <t>Sum</t>
        </is>
      </c>
      <c r="B48" s="24" t="n"/>
      <c r="C48" s="24" t="n"/>
      <c r="D48" s="25" t="n"/>
      <c r="E48" s="32">
        <f>SUM(E16:E47)</f>
        <v/>
      </c>
      <c r="F48" s="32">
        <f>SUM(F16:F47)</f>
        <v/>
      </c>
      <c r="G48" s="33" t="n"/>
    </row>
    <row r="49" ht="15" customHeight="1" s="20">
      <c r="A49" s="32" t="inlineStr">
        <is>
          <t>Score out of 100</t>
        </is>
      </c>
      <c r="B49" s="24" t="n"/>
      <c r="C49" s="24" t="n"/>
      <c r="D49" s="24" t="n"/>
      <c r="E49" s="25" t="n"/>
      <c r="F49" s="32">
        <f>F48/E48*100</f>
        <v/>
      </c>
      <c r="G49" s="33" t="n"/>
    </row>
    <row r="50" ht="9.75" customHeight="1" s="20">
      <c r="A50" s="19" t="n"/>
    </row>
    <row r="51" ht="15" customHeight="1" s="20">
      <c r="A51" s="32" t="inlineStr">
        <is>
          <t xml:space="preserve">Total achieved points out of 30  </t>
        </is>
      </c>
      <c r="B51" s="24" t="n"/>
      <c r="C51" s="24" t="n"/>
      <c r="D51" s="24" t="n"/>
      <c r="E51" s="25" t="n"/>
      <c r="F51" s="32">
        <f>F49*30/100</f>
        <v/>
      </c>
      <c r="G51" s="32" t="inlineStr">
        <is>
          <t>Points</t>
        </is>
      </c>
    </row>
  </sheetData>
  <mergeCells count="8">
    <mergeCell ref="A13:G13"/>
    <mergeCell ref="C7:G7"/>
    <mergeCell ref="A1:G1"/>
    <mergeCell ref="A48:D48"/>
    <mergeCell ref="A50:G50"/>
    <mergeCell ref="A49:E49"/>
    <mergeCell ref="A51:E51"/>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2026-08-17T07:23:46Z</dcterms:created>
  <dcterms:modified xmlns:dcterms="http://purl.org/dc/terms/" xmlns:xsi="http://www.w3.org/2001/XMLSchema-instance" xsi:type="dcterms:W3CDTF">2026-08-31T10:08:33Z</dcterms:modified>
  <cp:revision>2</cp:revision>
</cp:coreProperties>
</file>
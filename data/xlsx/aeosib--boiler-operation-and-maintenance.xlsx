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utoFilterDateGrouping="1"/>
  </bookViews>
  <sheets>
    <sheet xmlns:r="http://schemas.openxmlformats.org/officeDocument/2006/relationships" name="Boiler Op &amp; Maintenance"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1"/>
    </font>
    <font>
      <name val="Arial"/>
      <charset val="1"/>
      <family val="0"/>
      <sz val="11"/>
    </font>
  </fonts>
  <fills count="3">
    <fill>
      <patternFill/>
    </fill>
    <fill>
      <patternFill patternType="gray125"/>
    </fill>
    <fill>
      <patternFill patternType="solid">
        <fgColor rgb="FFD9D9D9"/>
        <bgColor rgb="FFC0C0C0"/>
      </patternFill>
    </fill>
  </fills>
  <borders count="7">
    <border>
      <left/>
      <right/>
      <top/>
      <bottom/>
      <diagonal/>
    </border>
    <border>
      <left style="thin"/>
      <right style="thin"/>
      <top style="thin"/>
      <bottom style="thin"/>
      <diagonal/>
    </border>
    <border>
      <left style="thin"/>
      <right/>
      <top style="thin"/>
      <bottom style="thin"/>
      <diagonal/>
    </border>
    <border>
      <left/>
      <right/>
      <top style="thin"/>
      <bottom/>
      <diagonal/>
    </border>
    <border>
      <left/>
      <right/>
      <top style="thin"/>
      <bottom style="thin"/>
      <diagonal/>
    </border>
    <border>
      <left/>
      <right style="thin"/>
      <top style="thin"/>
      <bottom/>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2" applyAlignment="1" pivotButton="0" quotePrefix="0" xfId="0">
      <alignment horizontal="center" vertical="center" wrapText="1"/>
    </xf>
    <xf numFmtId="0" fontId="0" fillId="0" borderId="4" pivotButton="0" quotePrefix="0" xfId="0"/>
    <xf numFmtId="0" fontId="6" fillId="0" borderId="2"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0" fillId="0" borderId="6" pivotButton="0" quotePrefix="0" xfId="0"/>
    <xf numFmtId="0" fontId="5" fillId="0"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4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O15" activeCellId="0" sqref="O15"/>
    </sheetView>
  </sheetViews>
  <sheetFormatPr baseColWidth="8" defaultColWidth="8.6796875" defaultRowHeight="15" customHeight="0" zeroHeight="0" outlineLevelRow="0"/>
  <cols>
    <col width="15.17" customWidth="1" style="15" min="1" max="1"/>
    <col width="33.13" customWidth="1" style="15" min="2" max="2"/>
    <col width="13.72" customWidth="1" style="15" min="3" max="7"/>
  </cols>
  <sheetData>
    <row r="1" ht="17.25" customHeight="1" s="16">
      <c r="A1" s="17" t="inlineStr">
        <is>
          <t>Course-wise Training Infrastructure and Facilities</t>
        </is>
      </c>
    </row>
    <row r="3" ht="26.85" customHeight="1" s="16">
      <c r="A3" s="18" t="inlineStr">
        <is>
          <t>Course Name:</t>
        </is>
      </c>
      <c r="B3" s="18" t="inlineStr">
        <is>
          <t>Boiler Operation and Maintenance</t>
        </is>
      </c>
    </row>
    <row r="4" ht="26.25" customHeight="1" s="16">
      <c r="A4" s="18" t="inlineStr">
        <is>
          <t>Number of Trainees:</t>
        </is>
      </c>
      <c r="B4" s="18" t="n">
        <v>25</v>
      </c>
    </row>
    <row r="6" ht="15" customHeight="1" s="16">
      <c r="A6" s="19" t="inlineStr">
        <is>
          <t>Course-wise Training Space (Theoretical Classroom, Workshop/ Lab/ Classroom cum Workshop)</t>
        </is>
      </c>
    </row>
    <row r="7" ht="15" customHeight="1" s="16">
      <c r="B7" s="18" t="inlineStr">
        <is>
          <t>Course Name</t>
        </is>
      </c>
      <c r="C7" s="20" t="inlineStr">
        <is>
          <t>SICIP required space for 25 trainees</t>
        </is>
      </c>
      <c r="D7" s="21" t="n"/>
      <c r="E7" s="21" t="n"/>
      <c r="F7" s="21" t="n"/>
      <c r="G7" s="21" t="n"/>
    </row>
    <row r="8" ht="51.75" customHeight="1" s="16">
      <c r="B8" s="18" t="inlineStr">
        <is>
          <t>Boiler Operation and Maintenance</t>
        </is>
      </c>
      <c r="C8" s="22" t="inlineStr">
        <is>
          <t>Classroom – 350 sft (33 sqm)
Workshop/ lab – 800 sft (75 sq) OR
Classroom cum workshop – 1000 sft (93 sqm)</t>
        </is>
      </c>
      <c r="D8" s="21" t="n"/>
      <c r="E8" s="21" t="n"/>
      <c r="F8" s="21" t="n"/>
      <c r="G8" s="21" t="n"/>
    </row>
    <row r="11" ht="15" customHeight="1" s="16">
      <c r="A11" s="19" t="inlineStr">
        <is>
          <t>Major Training Equipment and Training Facilities</t>
        </is>
      </c>
    </row>
    <row r="13" ht="115.5" customHeight="1" s="16">
      <c r="A13" s="23"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Boiler Operation and Maintenance,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25" customHeight="1" s="16">
      <c r="A15" s="24" t="inlineStr">
        <is>
          <t>S.N.</t>
        </is>
      </c>
      <c r="B15" s="24" t="inlineStr">
        <is>
          <t>Major Equipment and Training facilities</t>
        </is>
      </c>
      <c r="C15" s="24" t="inlineStr">
        <is>
          <t>Required facilities</t>
        </is>
      </c>
      <c r="D15" s="24" t="inlineStr">
        <is>
          <t>Available facilities</t>
        </is>
      </c>
      <c r="E15" s="24" t="inlineStr">
        <is>
          <t>Weights
(out of 10)</t>
        </is>
      </c>
      <c r="F15" s="24" t="inlineStr">
        <is>
          <t>Weighted scores</t>
        </is>
      </c>
      <c r="G15" s="24" t="inlineStr">
        <is>
          <t>Remarks</t>
        </is>
      </c>
    </row>
    <row r="16" ht="13.5" customHeight="1" s="16">
      <c r="A16" s="25" t="n">
        <v>1</v>
      </c>
      <c r="B16" s="26" t="inlineStr">
        <is>
          <t>Fire Tube Boiler (500 Kg per hour)</t>
        </is>
      </c>
      <c r="C16" s="27" t="n">
        <v>1</v>
      </c>
      <c r="D16" s="27" t="n"/>
      <c r="E16" s="27" t="n">
        <v>10</v>
      </c>
      <c r="F16" s="27">
        <f>IFERROR(MIN(C16,D16)*E16/C16,0)</f>
        <v/>
      </c>
      <c r="G16" s="27" t="n"/>
    </row>
    <row r="17" ht="13.5" customHeight="1" s="16">
      <c r="A17" s="25" t="n">
        <v>2</v>
      </c>
      <c r="B17" s="26" t="inlineStr">
        <is>
          <t>Fuel tank (2 ton)</t>
        </is>
      </c>
      <c r="C17" s="27" t="n">
        <v>1</v>
      </c>
      <c r="D17" s="27" t="n"/>
      <c r="E17" s="27" t="n">
        <v>8</v>
      </c>
      <c r="F17" s="27">
        <f>IFERROR(MIN(C17,D17)*E17/C17,0)</f>
        <v/>
      </c>
      <c r="G17" s="27" t="n"/>
    </row>
    <row r="18" ht="13.5" customHeight="1" s="16">
      <c r="A18" s="25" t="n">
        <v>3</v>
      </c>
      <c r="B18" s="26" t="inlineStr">
        <is>
          <t>Fuel pump with accessories</t>
        </is>
      </c>
      <c r="C18" s="27" t="n">
        <v>1</v>
      </c>
      <c r="D18" s="27" t="n"/>
      <c r="E18" s="27" t="n">
        <v>7</v>
      </c>
      <c r="F18" s="27">
        <f>IFERROR(MIN(C18,D18)*E18/C18,0)</f>
        <v/>
      </c>
      <c r="G18" s="27" t="n"/>
    </row>
    <row r="19" ht="13.5" customHeight="1" s="16">
      <c r="A19" s="25" t="n">
        <v>4</v>
      </c>
      <c r="B19" s="26" t="inlineStr">
        <is>
          <t>Feed water tank (2 ton)</t>
        </is>
      </c>
      <c r="C19" s="27" t="n">
        <v>1</v>
      </c>
      <c r="D19" s="27" t="n"/>
      <c r="E19" s="27" t="n">
        <v>8</v>
      </c>
      <c r="F19" s="27">
        <f>IFERROR(MIN(C19,D19)*E19/C19,0)</f>
        <v/>
      </c>
      <c r="G19" s="27" t="n"/>
    </row>
    <row r="20" ht="13.5" customHeight="1" s="16">
      <c r="A20" s="25" t="n">
        <v>5</v>
      </c>
      <c r="B20" s="26" t="inlineStr">
        <is>
          <t>Feed water pump with accessories</t>
        </is>
      </c>
      <c r="C20" s="27" t="n">
        <v>1</v>
      </c>
      <c r="D20" s="27" t="n"/>
      <c r="E20" s="27" t="n">
        <v>7</v>
      </c>
      <c r="F20" s="27">
        <f>IFERROR(MIN(C20,D20)*E20/C20,0)</f>
        <v/>
      </c>
      <c r="G20" s="27" t="n"/>
    </row>
    <row r="21" ht="13.5" customHeight="1" s="16">
      <c r="A21" s="25" t="n">
        <v>6</v>
      </c>
      <c r="B21" s="26" t="inlineStr">
        <is>
          <t>System piping for boiler exhaust 
(Standard size)</t>
        </is>
      </c>
      <c r="C21" s="27" t="n">
        <v>1</v>
      </c>
      <c r="D21" s="27" t="n"/>
      <c r="E21" s="27" t="n">
        <v>5</v>
      </c>
      <c r="F21" s="27">
        <f>IFERROR(MIN(C21,D21)*E21/C21,0)</f>
        <v/>
      </c>
      <c r="G21" s="27" t="n"/>
    </row>
    <row r="22" ht="13.5" customHeight="1" s="16">
      <c r="A22" s="25" t="n">
        <v>7</v>
      </c>
      <c r="B22" s="26" t="inlineStr">
        <is>
          <t>System piping for water (Standard size)</t>
        </is>
      </c>
      <c r="C22" s="27" t="n">
        <v>1</v>
      </c>
      <c r="D22" s="27" t="n"/>
      <c r="E22" s="27" t="n">
        <v>5</v>
      </c>
      <c r="F22" s="27">
        <f>IFERROR(MIN(C22,D22)*E22/C22,0)</f>
        <v/>
      </c>
      <c r="G22" s="27" t="n"/>
    </row>
    <row r="23" ht="13.5" customHeight="1" s="16">
      <c r="A23" s="25" t="n">
        <v>8</v>
      </c>
      <c r="B23" s="26" t="inlineStr">
        <is>
          <t>System piping for fuel (Standard size)</t>
        </is>
      </c>
      <c r="C23" s="27" t="n">
        <v>1</v>
      </c>
      <c r="D23" s="27" t="n"/>
      <c r="E23" s="27" t="n">
        <v>5</v>
      </c>
      <c r="F23" s="27">
        <f>IFERROR(MIN(C23,D23)*E23/C23,0)</f>
        <v/>
      </c>
      <c r="G23" s="27" t="n"/>
    </row>
    <row r="24" ht="13.5" customHeight="1" s="16">
      <c r="A24" s="25" t="n">
        <v>9</v>
      </c>
      <c r="B24" s="26" t="inlineStr">
        <is>
          <t>System piping for steam with insulation (Standard size)</t>
        </is>
      </c>
      <c r="C24" s="27" t="n">
        <v>1</v>
      </c>
      <c r="D24" s="27" t="n"/>
      <c r="E24" s="27" t="n">
        <v>5</v>
      </c>
      <c r="F24" s="27">
        <f>IFERROR(MIN(C24,D24)*E24/C24,0)</f>
        <v/>
      </c>
      <c r="G24" s="27" t="n"/>
    </row>
    <row r="25" ht="13.5" customHeight="1" s="16">
      <c r="A25" s="25" t="n">
        <v>10</v>
      </c>
      <c r="B25" s="26" t="inlineStr">
        <is>
          <t>Multimeter</t>
        </is>
      </c>
      <c r="C25" s="27" t="n">
        <v>2</v>
      </c>
      <c r="D25" s="27" t="n"/>
      <c r="E25" s="27" t="n">
        <v>5</v>
      </c>
      <c r="F25" s="27">
        <f>IFERROR(MIN(C25,D25)*E25/C25,0)</f>
        <v/>
      </c>
      <c r="G25" s="27" t="n"/>
    </row>
    <row r="26" ht="13.5" customHeight="1" s="16">
      <c r="A26" s="25" t="n">
        <v>11</v>
      </c>
      <c r="B26" s="26" t="inlineStr">
        <is>
          <t>Pipe Wrenches (24”)</t>
        </is>
      </c>
      <c r="C26" s="27" t="n">
        <v>2</v>
      </c>
      <c r="D26" s="27" t="n"/>
      <c r="E26" s="27" t="n">
        <v>4</v>
      </c>
      <c r="F26" s="27">
        <f>IFERROR(MIN(C26,D26)*E26/C26,0)</f>
        <v/>
      </c>
      <c r="G26" s="27" t="n"/>
    </row>
    <row r="27" ht="13.5" customHeight="1" s="16">
      <c r="A27" s="25" t="n">
        <v>12</v>
      </c>
      <c r="B27" s="26" t="inlineStr">
        <is>
          <t>Adjustable Wrenches</t>
        </is>
      </c>
      <c r="C27" s="27" t="n">
        <v>2</v>
      </c>
      <c r="D27" s="27" t="n"/>
      <c r="E27" s="27" t="n">
        <v>4</v>
      </c>
      <c r="F27" s="27">
        <f>IFERROR(MIN(C27,D27)*E27/C27,0)</f>
        <v/>
      </c>
      <c r="G27" s="27" t="n"/>
    </row>
    <row r="28" ht="13.5" customHeight="1" s="16">
      <c r="A28" s="25" t="n">
        <v>13</v>
      </c>
      <c r="B28" s="26" t="inlineStr">
        <is>
          <t>Spanners set</t>
        </is>
      </c>
      <c r="C28" s="27" t="n">
        <v>1</v>
      </c>
      <c r="D28" s="27" t="n"/>
      <c r="E28" s="27" t="n">
        <v>4</v>
      </c>
      <c r="F28" s="27">
        <f>IFERROR(MIN(C28,D28)*E28/C28,0)</f>
        <v/>
      </c>
      <c r="G28" s="27" t="n"/>
    </row>
    <row r="29" ht="13.5" customHeight="1" s="16">
      <c r="A29" s="25" t="n">
        <v>14</v>
      </c>
      <c r="B29" s="26" t="inlineStr">
        <is>
          <t>LPG cylinder with Propane Gas (35kg)</t>
        </is>
      </c>
      <c r="C29" s="27" t="n">
        <v>10</v>
      </c>
      <c r="D29" s="27" t="n"/>
      <c r="E29" s="27" t="n">
        <v>6</v>
      </c>
      <c r="F29" s="27">
        <f>IFERROR(MIN(C29,D29)*E29/C29,0)</f>
        <v/>
      </c>
      <c r="G29" s="27" t="n"/>
    </row>
    <row r="30" ht="13.5" customHeight="1" s="16">
      <c r="A30" s="25" t="n">
        <v>15</v>
      </c>
      <c r="B30" s="26" t="inlineStr">
        <is>
          <t>Boiler Water Testing Kit</t>
        </is>
      </c>
      <c r="C30" s="27" t="n">
        <v>2</v>
      </c>
      <c r="D30" s="27" t="n"/>
      <c r="E30" s="27" t="n">
        <v>5</v>
      </c>
      <c r="F30" s="27">
        <f>IFERROR(MIN(C30,D30)*E30/C30,0)</f>
        <v/>
      </c>
      <c r="G30" s="27" t="n"/>
    </row>
    <row r="31" ht="13.5" customHeight="1" s="16">
      <c r="A31" s="25" t="n">
        <v>16</v>
      </c>
      <c r="B31" s="26" t="inlineStr">
        <is>
          <t>Burner Nozzles</t>
        </is>
      </c>
      <c r="C31" s="27" t="n">
        <v>2</v>
      </c>
      <c r="D31" s="27" t="n"/>
      <c r="E31" s="27" t="n">
        <v>4</v>
      </c>
      <c r="F31" s="27">
        <f>IFERROR(MIN(C31,D31)*E31/C31,0)</f>
        <v/>
      </c>
      <c r="G31" s="27" t="inlineStr">
        <is>
          <t>2 set</t>
        </is>
      </c>
    </row>
    <row r="32" ht="13.5" customHeight="1" s="16">
      <c r="A32" s="25" t="n">
        <v>17</v>
      </c>
      <c r="B32" s="26" t="inlineStr">
        <is>
          <t>Boiler Tube Cleaning Brushes, chemicals, pump</t>
        </is>
      </c>
      <c r="C32" s="27" t="n">
        <v>2</v>
      </c>
      <c r="D32" s="27" t="n"/>
      <c r="E32" s="27" t="n">
        <v>3</v>
      </c>
      <c r="F32" s="27">
        <f>IFERROR(MIN(C32,D32)*E32/C32,0)</f>
        <v/>
      </c>
      <c r="G32" s="27" t="n"/>
    </row>
    <row r="33" ht="13.5" customHeight="1" s="16">
      <c r="A33" s="25" t="n">
        <v>18</v>
      </c>
      <c r="B33" s="26" t="inlineStr">
        <is>
          <t>Temperature Gun or Thermometer</t>
        </is>
      </c>
      <c r="C33" s="27" t="n">
        <v>1</v>
      </c>
      <c r="D33" s="27" t="n"/>
      <c r="E33" s="27" t="n">
        <v>4</v>
      </c>
      <c r="F33" s="27">
        <f>IFERROR(MIN(C33,D33)*E33/C33,0)</f>
        <v/>
      </c>
      <c r="G33" s="27" t="n"/>
    </row>
    <row r="34" ht="13.5" customHeight="1" s="16">
      <c r="A34" s="25" t="n">
        <v>19</v>
      </c>
      <c r="B34" s="26" t="inlineStr">
        <is>
          <t>Flashlight or Inspection Lamp</t>
        </is>
      </c>
      <c r="C34" s="27" t="n">
        <v>2</v>
      </c>
      <c r="D34" s="27" t="n"/>
      <c r="E34" s="27" t="n">
        <v>3</v>
      </c>
      <c r="F34" s="27">
        <f>IFERROR(MIN(C34,D34)*E34/C34,0)</f>
        <v/>
      </c>
      <c r="G34" s="27" t="n"/>
    </row>
    <row r="35" ht="13.5" customHeight="1" s="16">
      <c r="A35" s="25" t="n">
        <v>20</v>
      </c>
      <c r="B35" s="26" t="inlineStr">
        <is>
          <t>Pipe and Flue Brushes (with item no.6)</t>
        </is>
      </c>
      <c r="C35" s="27" t="n">
        <v>2</v>
      </c>
      <c r="D35" s="27" t="n"/>
      <c r="E35" s="27" t="n">
        <v>3</v>
      </c>
      <c r="F35" s="27">
        <f>IFERROR(MIN(C35,D35)*E35/C35,0)</f>
        <v/>
      </c>
      <c r="G35" s="27" t="n"/>
    </row>
    <row r="36" ht="13.5" customHeight="1" s="16">
      <c r="A36" s="25" t="n">
        <v>21</v>
      </c>
      <c r="B36" s="26" t="inlineStr">
        <is>
          <t>Gaskets and Seals (5 square meter)</t>
        </is>
      </c>
      <c r="C36" s="27" t="n">
        <v>5</v>
      </c>
      <c r="D36" s="27" t="n"/>
      <c r="E36" s="27" t="n">
        <v>3</v>
      </c>
      <c r="F36" s="27">
        <f>IFERROR(MIN(C36,D36)*E36/C36,0)</f>
        <v/>
      </c>
      <c r="G36" s="27" t="n"/>
    </row>
    <row r="37" ht="13.5" customHeight="1" s="16">
      <c r="A37" s="25" t="n">
        <v>22</v>
      </c>
      <c r="B37" s="26" t="inlineStr">
        <is>
          <t>Ignition Electrodes</t>
        </is>
      </c>
      <c r="C37" s="27" t="n">
        <v>2</v>
      </c>
      <c r="D37" s="27" t="n"/>
      <c r="E37" s="27" t="n">
        <v>4</v>
      </c>
      <c r="F37" s="27">
        <f>IFERROR(MIN(C37,D37)*E37/C37,0)</f>
        <v/>
      </c>
      <c r="G37" s="27" t="inlineStr">
        <is>
          <t>2 set</t>
        </is>
      </c>
    </row>
    <row r="38" ht="13.5" customHeight="1" s="16">
      <c r="A38" s="25" t="n">
        <v>23</v>
      </c>
      <c r="B38" s="26" t="inlineStr">
        <is>
          <t>Flame Sensors</t>
        </is>
      </c>
      <c r="C38" s="27" t="n">
        <v>2</v>
      </c>
      <c r="D38" s="27" t="n"/>
      <c r="E38" s="27" t="n">
        <v>5</v>
      </c>
      <c r="F38" s="27">
        <f>IFERROR(MIN(C38,D38)*E38/C38,0)</f>
        <v/>
      </c>
      <c r="G38" s="27" t="n"/>
    </row>
    <row r="39" ht="13.5" customHeight="1" s="16">
      <c r="A39" s="25" t="n">
        <v>24</v>
      </c>
      <c r="B39" s="26" t="inlineStr">
        <is>
          <t>Tool box for boiler</t>
        </is>
      </c>
      <c r="C39" s="27" t="n">
        <v>2</v>
      </c>
      <c r="D39" s="27" t="n"/>
      <c r="E39" s="27" t="n">
        <v>4</v>
      </c>
      <c r="F39" s="27">
        <f>IFERROR(MIN(C39,D39)*E39/C39,0)</f>
        <v/>
      </c>
      <c r="G39" s="27" t="inlineStr">
        <is>
          <t>2 set</t>
        </is>
      </c>
    </row>
    <row r="40" ht="13.5" customHeight="1" s="16">
      <c r="A40" s="25" t="n">
        <v>25</v>
      </c>
      <c r="B40" s="26" t="inlineStr">
        <is>
          <t>Safety valve</t>
        </is>
      </c>
      <c r="C40" s="27" t="n">
        <v>1</v>
      </c>
      <c r="D40" s="27" t="n"/>
      <c r="E40" s="27" t="n">
        <v>6</v>
      </c>
      <c r="F40" s="27">
        <f>IFERROR(MIN(C40,D40)*E40/C40,0)</f>
        <v/>
      </c>
      <c r="G40" s="27" t="n"/>
    </row>
    <row r="41" ht="15" customHeight="1" s="16">
      <c r="A41" s="28" t="inlineStr">
        <is>
          <t>Sum</t>
        </is>
      </c>
      <c r="B41" s="21" t="n"/>
      <c r="C41" s="21" t="n"/>
      <c r="D41" s="29" t="n"/>
      <c r="E41" s="28">
        <f>SUM(E16:E40)</f>
        <v/>
      </c>
      <c r="F41" s="28">
        <f>SUM(F16:F40)</f>
        <v/>
      </c>
      <c r="G41" s="30" t="n"/>
    </row>
    <row r="42" ht="15" customHeight="1" s="16">
      <c r="A42" s="28" t="inlineStr">
        <is>
          <t>Score out of 100</t>
        </is>
      </c>
      <c r="B42" s="21" t="n"/>
      <c r="C42" s="21" t="n"/>
      <c r="D42" s="21" t="n"/>
      <c r="E42" s="29" t="n"/>
      <c r="F42" s="28">
        <f>F41/E41*100</f>
        <v/>
      </c>
      <c r="G42" s="30" t="n"/>
    </row>
    <row r="43" ht="9.75" customHeight="1" s="16">
      <c r="A43" s="15" t="n"/>
    </row>
    <row r="44" ht="15" customHeight="1" s="16">
      <c r="A44" s="28" t="inlineStr">
        <is>
          <t xml:space="preserve">Total achieved points out of 30  </t>
        </is>
      </c>
      <c r="B44" s="21" t="n"/>
      <c r="C44" s="21" t="n"/>
      <c r="D44" s="21" t="n"/>
      <c r="E44" s="29" t="n"/>
      <c r="F44" s="28">
        <f>F42*30/100</f>
        <v/>
      </c>
      <c r="G44" s="28" t="inlineStr">
        <is>
          <t>Points</t>
        </is>
      </c>
    </row>
  </sheetData>
  <mergeCells count="8">
    <mergeCell ref="A13:G13"/>
    <mergeCell ref="C7:G7"/>
    <mergeCell ref="A1:G1"/>
    <mergeCell ref="A42:E42"/>
    <mergeCell ref="A43:G43"/>
    <mergeCell ref="A41:D41"/>
    <mergeCell ref="A44:E44"/>
    <mergeCell ref="C8:G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2026-08-17T07:23:45Z</dcterms:created>
  <dcterms:modified xmlns:dcterms="http://purl.org/dc/terms/" xmlns:xsi="http://www.w3.org/2001/XMLSchema-instance" xsi:type="dcterms:W3CDTF">2026-08-20T03:29:13Z</dcterms:modified>
  <cp:revision>1</cp:revision>
</cp:coreProperties>
</file>
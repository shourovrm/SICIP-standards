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le and Marble Wo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Tile and Marble Works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Tile and Marble Works</t>
        </is>
      </c>
      <c r="C8" s="4" t="inlineStr">
        <is>
          <t>Classroom – 350 sft (33 sqm)
Workshop/ lab – 800 sft (75 sqm)
                     OR
Classroom cum workshop – 1000 sft (93 sqm) Space for Plumbing booth not included</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Tile and Marble Works,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Tiles Cutter Machine (Manual)</t>
        </is>
      </c>
      <c r="C18" s="9" t="n">
        <v>10</v>
      </c>
      <c r="D18" s="9" t="n">
        <v>0</v>
      </c>
      <c r="E18" s="9" t="n">
        <v>9</v>
      </c>
      <c r="F18" s="9">
        <f>IFERROR(MIN(C18,D18)*E18/C18,0)</f>
        <v/>
      </c>
      <c r="G18" s="9" t="n"/>
    </row>
    <row r="19" ht="14.15" customHeight="1">
      <c r="A19" s="7" t="n">
        <v>4</v>
      </c>
      <c r="B19" s="8" t="inlineStr">
        <is>
          <t>Angle Grinder</t>
        </is>
      </c>
      <c r="C19" s="9" t="n">
        <v>10</v>
      </c>
      <c r="D19" s="9" t="n">
        <v>0</v>
      </c>
      <c r="E19" s="9" t="n">
        <v>7</v>
      </c>
      <c r="F19" s="9">
        <f>IFERROR(MIN(C19,D19)*E19/C19,0)</f>
        <v/>
      </c>
      <c r="G19" s="9" t="n"/>
    </row>
    <row r="20" ht="14.15" customHeight="1">
      <c r="A20" s="7" t="n">
        <v>5</v>
      </c>
      <c r="B20" s="8" t="inlineStr">
        <is>
          <t>Work Station/ Booth (for tile installation across different positions: horizontal, vertical, inclined; suitable for floors, ceilings, drop walls, stairs, etc)</t>
        </is>
      </c>
      <c r="C20" s="9" t="n">
        <v>10</v>
      </c>
      <c r="D20" s="9" t="n">
        <v>0</v>
      </c>
      <c r="E20" s="9" t="n">
        <v>8</v>
      </c>
      <c r="F20" s="9">
        <f>IFERROR(MIN(C20,D20)*E20/C20,0)</f>
        <v/>
      </c>
      <c r="G20" s="9" t="n"/>
    </row>
    <row r="21">
      <c r="A21" s="10" t="inlineStr">
        <is>
          <t>Sum</t>
        </is>
      </c>
      <c r="B21" s="11" t="n"/>
      <c r="C21" s="11" t="n"/>
      <c r="D21" s="12" t="n"/>
      <c r="E21" s="10">
        <f>SUM(E16:E20)</f>
        <v/>
      </c>
      <c r="F21" s="10">
        <f>SUM(F16:F20)</f>
        <v/>
      </c>
      <c r="G21" s="13" t="n"/>
    </row>
    <row r="22">
      <c r="A22" s="10" t="inlineStr">
        <is>
          <t>Score out of 100</t>
        </is>
      </c>
      <c r="B22" s="11" t="n"/>
      <c r="C22" s="11" t="n"/>
      <c r="D22" s="11" t="n"/>
      <c r="E22" s="12" t="n"/>
      <c r="F22" s="10">
        <f>F21/E21*100</f>
        <v/>
      </c>
      <c r="G22" s="13" t="n"/>
    </row>
    <row r="23" ht="9.75" customHeight="1"/>
    <row r="24">
      <c r="A24" s="10" t="inlineStr">
        <is>
          <t xml:space="preserve">Total achieved points out of 30  </t>
        </is>
      </c>
      <c r="B24" s="11" t="n"/>
      <c r="C24" s="11" t="n"/>
      <c r="D24" s="11" t="n"/>
      <c r="E24" s="12" t="n"/>
      <c r="F24" s="10">
        <f>F22*30/100</f>
        <v/>
      </c>
      <c r="G24" s="10" t="inlineStr">
        <is>
          <t>Points</t>
        </is>
      </c>
    </row>
  </sheetData>
  <mergeCells count="8">
    <mergeCell ref="A13:G13"/>
    <mergeCell ref="C7:G7"/>
    <mergeCell ref="A1:G1"/>
    <mergeCell ref="A24:E24"/>
    <mergeCell ref="A21:D21"/>
    <mergeCell ref="C8:G8"/>
    <mergeCell ref="A22:E22"/>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2026-08-31T10:08:45Z</dcterms:modified>
</cp:coreProperties>
</file>
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aphic Desig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20">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xf numFmtId="0" fontId="3" fillId="0" borderId="1" applyAlignment="1" pivotButton="0" quotePrefix="0" xfId="0">
      <alignment horizontal="center" vertical="center"/>
    </xf>
    <xf numFmtId="0" fontId="2" fillId="0" borderId="1" applyAlignment="1" pivotButton="0" quotePrefix="0" xfId="0">
      <alignment horizontal="center" vertical="center"/>
    </xf>
    <xf numFmtId="0" fontId="3" fillId="0" borderId="1" applyAlignment="1" pivotButton="0" quotePrefix="0" xfId="0">
      <alignment horizontal="center" vertical="center"/>
    </xf>
    <xf numFmtId="0" fontId="2" fillId="0" borderId="1" applyAlignment="1" pivotButton="0" quotePrefix="0" xfId="0">
      <alignment horizontal="center" vertical="center"/>
    </xf>
    <xf numFmtId="0" fontId="3" fillId="0" borderId="1" applyAlignment="1" pivotButton="0" quotePrefix="0" xfId="0">
      <alignment horizontal="center" vertical="center"/>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Graphic Design ad Entrepreneurship Development</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Graphic Design ad Entrepreneurship Development</t>
        </is>
      </c>
      <c r="C8" s="4" t="inlineStr">
        <is>
          <t>Classroom – 350 sft (33 sqm)
lab size – 500 sft (47 sqm)
OR
Classroom cum workshop – 500 sft (47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Graphic Design ad Entrepreneurship Development,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8" t="n">
        <v>1</v>
      </c>
      <c r="B16" s="8" t="inlineStr">
        <is>
          <t>Laptop/ Desktop (Minimum Intel core i5 or Intel core i3 8 gen/above, or AMD Ryzen similar spec; Ram: minimum 8 - 16 GB; Display: FHD monitor; Graphic Card: dedicated GPU 2GB; High Speed Internet (Minimum 10 Mbps); Graphic Design Software 
(Photoshop CC, Illustrator CC, InDesign, After Effects, CorelDraw); 3D Design Software (Blender, Cinema 4D or Autodesk Maya)</t>
        </is>
      </c>
      <c r="C16" s="9" t="n">
        <v>26</v>
      </c>
      <c r="D16" s="9" t="n">
        <v>0</v>
      </c>
      <c r="E16" s="9" t="n">
        <v>10</v>
      </c>
      <c r="F16" s="9">
        <f>IFERROR(MIN(C16,D16)*E16/C16,0)</f>
        <v/>
      </c>
      <c r="G16" s="9" t="n"/>
    </row>
    <row r="17" ht="14.15" customHeight="1">
      <c r="A17" s="18" t="n">
        <v>2</v>
      </c>
      <c r="B17" s="8" t="inlineStr">
        <is>
          <t>Power Backup (at least 01 hour)</t>
        </is>
      </c>
      <c r="C17" s="9" t="n">
        <v>26</v>
      </c>
      <c r="D17" s="9" t="n">
        <v>0</v>
      </c>
      <c r="E17" s="9" t="n">
        <v>6</v>
      </c>
      <c r="F17" s="9">
        <f>IFERROR(MIN(C17,D17)*E17/C17,0)</f>
        <v/>
      </c>
      <c r="G17" s="9" t="n"/>
    </row>
    <row r="18" ht="14.15" customHeight="1">
      <c r="A18" s="18" t="n">
        <v>3</v>
      </c>
      <c r="B18" s="8" t="inlineStr">
        <is>
          <t>Color Printer</t>
        </is>
      </c>
      <c r="C18" s="9" t="n">
        <v>1</v>
      </c>
      <c r="D18" s="9" t="n">
        <v>0</v>
      </c>
      <c r="E18" s="9" t="n">
        <v>6</v>
      </c>
      <c r="F18" s="9">
        <f>IFERROR(MIN(C18,D18)*E18/C18,0)</f>
        <v/>
      </c>
      <c r="G18" s="9" t="n"/>
    </row>
    <row r="19" ht="14.15" customHeight="1">
      <c r="A19" s="18" t="n">
        <v>4</v>
      </c>
      <c r="B19" s="8" t="inlineStr">
        <is>
          <t>Scanner</t>
        </is>
      </c>
      <c r="C19" s="9" t="n">
        <v>1</v>
      </c>
      <c r="D19" s="9" t="n">
        <v>0</v>
      </c>
      <c r="E19" s="9" t="n">
        <v>6</v>
      </c>
      <c r="F19" s="9">
        <f>IFERROR(MIN(C19,D19)*E19/C19,0)</f>
        <v/>
      </c>
      <c r="G19" s="9" t="n"/>
    </row>
    <row r="20" ht="14.15" customHeight="1">
      <c r="A20" s="18" t="n">
        <v>5</v>
      </c>
      <c r="B20" s="8" t="inlineStr">
        <is>
          <t>Projector or Large Display Screen</t>
        </is>
      </c>
      <c r="C20" s="9" t="n">
        <v>1</v>
      </c>
      <c r="D20" s="9" t="n">
        <v>0</v>
      </c>
      <c r="E20" s="9" t="n">
        <v>6</v>
      </c>
      <c r="F20" s="9">
        <f>IFERROR(MIN(C20,D20)*E20/C20,0)</f>
        <v/>
      </c>
      <c r="G20" s="9" t="n"/>
    </row>
    <row r="21" ht="14.15" customHeight="1">
      <c r="A21" s="18" t="n">
        <v>6</v>
      </c>
      <c r="B21" s="8" t="inlineStr">
        <is>
          <t>White board</t>
        </is>
      </c>
      <c r="C21" s="9" t="n">
        <v>1</v>
      </c>
      <c r="D21" s="9" t="n">
        <v>0</v>
      </c>
      <c r="E21" s="9" t="n">
        <v>4</v>
      </c>
      <c r="F21" s="9">
        <f>IFERROR(MIN(C21,D21)*E21/C21,0)</f>
        <v/>
      </c>
      <c r="G21" s="9" t="n"/>
    </row>
    <row r="22" ht="14.15" customHeight="1">
      <c r="A22" s="18" t="n">
        <v>7</v>
      </c>
      <c r="B22" s="8" t="inlineStr">
        <is>
          <t>Sound speaker and microphone</t>
        </is>
      </c>
      <c r="C22" s="9" t="n">
        <v>1</v>
      </c>
      <c r="D22" s="9" t="n">
        <v>0</v>
      </c>
      <c r="E22" s="9" t="n">
        <v>4</v>
      </c>
      <c r="F22" s="9">
        <f>IFERROR(MIN(C22,D22)*E22/C22,0)</f>
        <v/>
      </c>
      <c r="G22" s="9" t="n"/>
    </row>
    <row r="23" ht="14.15" customHeight="1">
      <c r="A23" s="18" t="n">
        <v>8</v>
      </c>
      <c r="B23" s="8" t="inlineStr">
        <is>
          <t>Ergonomic chairs and desks (Plastic chairs/stool not acceptable)</t>
        </is>
      </c>
      <c r="C23" s="9" t="n">
        <v>26</v>
      </c>
      <c r="D23" s="9" t="n">
        <v>0</v>
      </c>
      <c r="E23" s="9" t="n">
        <v>5</v>
      </c>
      <c r="F23" s="9">
        <f>IFERROR(MIN(C23,D23)*E23/C23,0)</f>
        <v/>
      </c>
      <c r="G23" s="9" t="n"/>
    </row>
    <row r="24">
      <c r="A24" s="19" t="inlineStr">
        <is>
          <t>Sum</t>
        </is>
      </c>
      <c r="B24" s="11" t="n"/>
      <c r="C24" s="11" t="n"/>
      <c r="D24" s="12" t="n"/>
      <c r="E24" s="19">
        <f>SUM(E16:E23)</f>
        <v/>
      </c>
      <c r="F24" s="19">
        <f>SUM(F16:F23)</f>
        <v/>
      </c>
      <c r="G24" s="13" t="n"/>
    </row>
    <row r="25">
      <c r="A25" s="19" t="inlineStr">
        <is>
          <t>Score out of 100</t>
        </is>
      </c>
      <c r="B25" s="11" t="n"/>
      <c r="C25" s="11" t="n"/>
      <c r="D25" s="11" t="n"/>
      <c r="E25" s="12" t="n"/>
      <c r="F25" s="19">
        <f>F24/E24*100</f>
        <v/>
      </c>
      <c r="G25" s="13" t="n"/>
    </row>
    <row r="26" ht="9.75" customHeight="1"/>
    <row r="27">
      <c r="A27" s="19" t="inlineStr">
        <is>
          <t xml:space="preserve">Total achieved points out of 30  </t>
        </is>
      </c>
      <c r="B27" s="11" t="n"/>
      <c r="C27" s="11" t="n"/>
      <c r="D27" s="11" t="n"/>
      <c r="E27" s="12" t="n"/>
      <c r="F27" s="19">
        <f>F25*30/100</f>
        <v/>
      </c>
      <c r="G27" s="19" t="inlineStr">
        <is>
          <t>Points</t>
        </is>
      </c>
    </row>
    <row r="28" ht="14.15" customHeight="1">
      <c r="A28" s="5" t="inlineStr">
        <is>
          <t>* For this course, the lab should be air-conditioned. Otherwise, the total points achieved will be halved.</t>
        </is>
      </c>
    </row>
  </sheetData>
  <mergeCells count="9">
    <mergeCell ref="A13:G13"/>
    <mergeCell ref="C7:G7"/>
    <mergeCell ref="A1:G1"/>
    <mergeCell ref="A25:E25"/>
    <mergeCell ref="A26:G26"/>
    <mergeCell ref="A24:D24"/>
    <mergeCell ref="C8:G8"/>
    <mergeCell ref="A27:E27"/>
    <mergeCell ref="A28:G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2026-09-23T10:48:06Z</dcterms:modified>
</cp:coreProperties>
</file>
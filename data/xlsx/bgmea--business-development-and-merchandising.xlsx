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siness Dev &amp; Merchandis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Business Development and Merchandising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Business Development and Merchandising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Business Development and Merchandising,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5</v>
      </c>
      <c r="D16" s="9" t="n"/>
      <c r="E16" s="9" t="n">
        <v>6</v>
      </c>
      <c r="F16" s="9">
        <f>IFERROR(MIN(C16,D16)*E16/C16,0)</f>
        <v/>
      </c>
      <c r="G16" s="9" t="n"/>
    </row>
    <row r="17" ht="14.15" customHeight="1">
      <c r="A17" s="7" t="n">
        <v>2</v>
      </c>
      <c r="B17" s="8" t="inlineStr">
        <is>
          <t>Internet connectivity</t>
        </is>
      </c>
      <c r="C17" s="9" t="n">
        <v>1</v>
      </c>
      <c r="D17" s="9" t="n"/>
      <c r="E17" s="9" t="n">
        <v>5</v>
      </c>
      <c r="F17" s="9">
        <f>IFERROR(MIN(C17,D17)*E17/C17,0)</f>
        <v/>
      </c>
      <c r="G17" s="9" t="n"/>
    </row>
    <row r="18" ht="14.15" customHeight="1">
      <c r="A18" s="7" t="n">
        <v>3</v>
      </c>
      <c r="B18" s="8" t="inlineStr">
        <is>
          <t>Multimedia projector &amp; screen</t>
        </is>
      </c>
      <c r="C18" s="9" t="n">
        <v>1</v>
      </c>
      <c r="D18" s="9" t="n"/>
      <c r="E18" s="9" t="n">
        <v>5</v>
      </c>
      <c r="F18" s="9">
        <f>IFERROR(MIN(C18,D18)*E18/C18,0)</f>
        <v/>
      </c>
      <c r="G18" s="9" t="n"/>
    </row>
    <row r="19" ht="14.15" customHeight="1">
      <c r="A19" s="7" t="n">
        <v>4</v>
      </c>
      <c r="B19" s="8" t="inlineStr">
        <is>
          <t>Fabric Swatches and Trims</t>
        </is>
      </c>
      <c r="C19" s="9" t="n">
        <v>25</v>
      </c>
      <c r="D19" s="9" t="n"/>
      <c r="E19" s="9" t="n">
        <v>5</v>
      </c>
      <c r="F19" s="9">
        <f>IFERROR(MIN(C19,D19)*E19/C19,0)</f>
        <v/>
      </c>
      <c r="G19" s="9" t="n"/>
    </row>
    <row r="20" ht="14.15" customHeight="1">
      <c r="A20" s="7" t="n">
        <v>5</v>
      </c>
      <c r="B20" s="8" t="inlineStr">
        <is>
          <t>Garments sample (Knit, Woven and Sweater)</t>
        </is>
      </c>
      <c r="C20" s="9" t="n">
        <v>30</v>
      </c>
      <c r="D20" s="9" t="n"/>
      <c r="E20" s="9" t="n">
        <v>5</v>
      </c>
      <c r="F20" s="9">
        <f>IFERROR(MIN(C20,D20)*E20/C20,0)</f>
        <v/>
      </c>
      <c r="G20" s="9" t="n"/>
    </row>
    <row r="21" ht="14.15" customHeight="1">
      <c r="A21" s="7" t="n">
        <v>6</v>
      </c>
      <c r="B21" s="8" t="inlineStr">
        <is>
          <t>Mannequin doll (Child, male and female)</t>
        </is>
      </c>
      <c r="C21" s="9" t="n">
        <v>5</v>
      </c>
      <c r="D21" s="9" t="n"/>
      <c r="E21" s="9" t="n">
        <v>5</v>
      </c>
      <c r="F21" s="9">
        <f>IFERROR(MIN(C21,D21)*E21/C21,0)</f>
        <v/>
      </c>
      <c r="G21" s="9" t="n"/>
    </row>
    <row r="22" ht="14.15" customHeight="1">
      <c r="A22" s="7" t="n">
        <v>7</v>
      </c>
      <c r="B22" s="8" t="inlineStr">
        <is>
          <t>Working Table (Minimum 6 feet)</t>
        </is>
      </c>
      <c r="C22" s="9" t="n">
        <v>5</v>
      </c>
      <c r="D22" s="9" t="n"/>
      <c r="E22" s="9" t="n">
        <v>4</v>
      </c>
      <c r="F22" s="9">
        <f>IFERROR(MIN(C22,D22)*E22/C22,0)</f>
        <v/>
      </c>
      <c r="G22" s="9" t="n"/>
    </row>
    <row r="23" ht="14.15" customHeight="1">
      <c r="A23" s="7" t="n">
        <v>8</v>
      </c>
      <c r="B23" s="8" t="inlineStr">
        <is>
          <t>Counting glass/Pick glass</t>
        </is>
      </c>
      <c r="C23" s="9" t="n">
        <v>10</v>
      </c>
      <c r="D23" s="9" t="n"/>
      <c r="E23" s="9" t="n">
        <v>4</v>
      </c>
      <c r="F23" s="9">
        <f>IFERROR(MIN(C23,D23)*E23/C23,0)</f>
        <v/>
      </c>
      <c r="G23" s="9" t="n"/>
    </row>
    <row r="24" ht="14.15" customHeight="1">
      <c r="A24" s="7" t="n">
        <v>9</v>
      </c>
      <c r="B24" s="8" t="inlineStr">
        <is>
          <t>Weighing machine</t>
        </is>
      </c>
      <c r="C24" s="9" t="n">
        <v>2</v>
      </c>
      <c r="D24" s="9" t="n"/>
      <c r="E24" s="9" t="n">
        <v>4</v>
      </c>
      <c r="F24" s="9">
        <f>IFERROR(MIN(C24,D24)*E24/C24,0)</f>
        <v/>
      </c>
      <c r="G24" s="9" t="n"/>
    </row>
    <row r="25" ht="14.15" customHeight="1">
      <c r="A25" s="7" t="n">
        <v>10</v>
      </c>
      <c r="B25" s="8" t="inlineStr">
        <is>
          <t>GSM cutter and scale</t>
        </is>
      </c>
      <c r="C25" s="9" t="n">
        <v>2</v>
      </c>
      <c r="D25" s="9" t="n"/>
      <c r="E25" s="9" t="n">
        <v>4</v>
      </c>
      <c r="F25" s="9">
        <f>IFERROR(MIN(C25,D25)*E25/C25,0)</f>
        <v/>
      </c>
      <c r="G25" s="9" t="n"/>
    </row>
    <row r="26" ht="14.15" customHeight="1">
      <c r="A26" s="7" t="n">
        <v>11</v>
      </c>
      <c r="B26" s="8" t="inlineStr">
        <is>
          <t>Sample BOM sheet (Tech-pack)</t>
        </is>
      </c>
      <c r="C26" s="9" t="n">
        <v>10</v>
      </c>
      <c r="D26" s="9" t="n"/>
      <c r="E26" s="9" t="n">
        <v>3</v>
      </c>
      <c r="F26" s="9">
        <f>IFERROR(MIN(C26,D26)*E26/C26,0)</f>
        <v/>
      </c>
      <c r="G26" s="9" t="n"/>
    </row>
    <row r="27" ht="14.15" customHeight="1">
      <c r="A27" s="7" t="n">
        <v>12</v>
      </c>
      <c r="B27" s="8" t="inlineStr">
        <is>
          <t>Single needle lock stitch machine</t>
        </is>
      </c>
      <c r="C27" s="9" t="n">
        <v>1</v>
      </c>
      <c r="D27" s="9" t="n"/>
      <c r="E27" s="9" t="n">
        <v>5</v>
      </c>
      <c r="F27" s="9">
        <f>IFERROR(MIN(C27,D27)*E27/C27,0)</f>
        <v/>
      </c>
      <c r="G27" s="9" t="n"/>
    </row>
    <row r="28" ht="14.15" customHeight="1">
      <c r="A28" s="7" t="n">
        <v>13</v>
      </c>
      <c r="B28" s="8" t="inlineStr">
        <is>
          <t>Single needle chain stitch machine</t>
        </is>
      </c>
      <c r="C28" s="9" t="n">
        <v>1</v>
      </c>
      <c r="D28" s="9" t="n"/>
      <c r="E28" s="9" t="n">
        <v>5</v>
      </c>
      <c r="F28" s="9">
        <f>IFERROR(MIN(C28,D28)*E28/C28,0)</f>
        <v/>
      </c>
      <c r="G28" s="9" t="n"/>
    </row>
    <row r="29" ht="14.15" customHeight="1">
      <c r="A29" s="7" t="n">
        <v>14</v>
      </c>
      <c r="B29" s="8" t="inlineStr">
        <is>
          <t>Over lock machine</t>
        </is>
      </c>
      <c r="C29" s="9" t="n">
        <v>1</v>
      </c>
      <c r="D29" s="9" t="n"/>
      <c r="E29" s="9" t="n">
        <v>5</v>
      </c>
      <c r="F29" s="9">
        <f>IFERROR(MIN(C29,D29)*E29/C29,0)</f>
        <v/>
      </c>
      <c r="G29" s="9" t="n"/>
    </row>
    <row r="30" ht="14.15" customHeight="1">
      <c r="A30" s="7" t="n">
        <v>15</v>
      </c>
      <c r="B30" s="8" t="inlineStr">
        <is>
          <t>Flat lock machine</t>
        </is>
      </c>
      <c r="C30" s="9" t="n">
        <v>1</v>
      </c>
      <c r="D30" s="9" t="n"/>
      <c r="E30" s="9" t="n">
        <v>5</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
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t Processing"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4"/>
    </font>
    <font>
      <name val="Arial"/>
      <b val="1"/>
      <sz val="11"/>
    </font>
    <font>
      <name val="Arial"/>
      <sz val="11"/>
    </font>
  </fonts>
  <fills count="3">
    <fill>
      <patternFill/>
    </fill>
    <fill>
      <patternFill patternType="gray125"/>
    </fill>
    <fill>
      <patternFill patternType="solid">
        <fgColor rgb="FFD9D9D9"/>
      </patternFill>
    </fill>
  </fills>
  <borders count="6">
    <border>
      <left/>
      <right/>
      <top/>
      <bottom/>
      <diagonal/>
    </border>
    <border>
      <left style="thin"/>
      <right style="thin"/>
      <top style="thin"/>
      <bottom style="thin"/>
    </border>
    <border>
      <left/>
      <right/>
      <top style="thin"/>
      <bottom/>
      <diagonal/>
    </border>
    <border>
      <left/>
      <right style="thin"/>
      <top style="thin"/>
      <bottom/>
      <diagonal/>
    </border>
    <border>
      <left/>
      <right/>
      <top style="thin"/>
      <bottom style="thin"/>
      <diagonal/>
    </border>
    <border>
      <left/>
      <right style="thin"/>
      <top style="thin"/>
      <bottom style="thin"/>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horizontal="center" vertical="bottom"/>
    </xf>
    <xf numFmtId="0" fontId="2" fillId="0" borderId="1" applyAlignment="1" pivotButton="0" quotePrefix="0" xfId="0">
      <alignment horizontal="center" vertical="center" wrapText="1"/>
    </xf>
    <xf numFmtId="0" fontId="2" fillId="0" borderId="0" pivotButton="0" quotePrefix="0" xfId="0"/>
    <xf numFmtId="0" fontId="2" fillId="0" borderId="1" applyAlignment="1" pivotButton="0" quotePrefix="0" xfId="0">
      <alignment horizontal="left" vertical="center" wrapText="1"/>
    </xf>
    <xf numFmtId="0" fontId="3" fillId="0" borderId="0" applyAlignment="1" pivotButton="0" quotePrefix="0" xfId="0">
      <alignment horizontal="left" vertical="top" wrapText="1"/>
    </xf>
    <xf numFmtId="0" fontId="2" fillId="2" borderId="1" applyAlignment="1" pivotButton="0" quotePrefix="0" xfId="0">
      <alignment horizontal="center" vertical="center" wrapText="1"/>
    </xf>
    <xf numFmtId="0" fontId="3" fillId="0" borderId="1" applyAlignment="1" pivotButton="0" quotePrefix="0" xfId="0">
      <alignment horizontal="center" vertical="center"/>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2" fillId="0" borderId="1" applyAlignment="1" pivotButton="0" quotePrefix="0" xfId="0">
      <alignment horizontal="center" vertical="center"/>
    </xf>
    <xf numFmtId="0" fontId="0" fillId="0" borderId="4" pivotButton="0" quotePrefix="0" xfId="0"/>
    <xf numFmtId="0" fontId="0" fillId="0" borderId="5" pivotButton="0" quotePrefix="0" xfId="0"/>
    <xf numFmtId="0" fontId="2"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6"/>
  <sheetViews>
    <sheetView workbookViewId="0">
      <selection activeCell="A1" sqref="A1"/>
    </sheetView>
  </sheetViews>
  <sheetFormatPr baseColWidth="8" defaultRowHeight="15"/>
  <cols>
    <col width="15.17" customWidth="1" min="1" max="1"/>
    <col width="33.13" customWidth="1" min="2" max="2"/>
    <col width="13.72" customWidth="1" min="3" max="3"/>
    <col width="13.72" customWidth="1" min="4" max="4"/>
    <col width="13.72" customWidth="1" min="5" max="5"/>
    <col width="13.72" customWidth="1" min="6" max="6"/>
    <col width="13.72" customWidth="1" min="7" max="7"/>
  </cols>
  <sheetData>
    <row r="1" ht="17.35" customHeight="1">
      <c r="A1" s="1" t="inlineStr">
        <is>
          <t>Course-wise Training Infrastructure and Facilities</t>
        </is>
      </c>
    </row>
    <row r="3">
      <c r="A3" s="2" t="inlineStr">
        <is>
          <t>Course Name:</t>
        </is>
      </c>
      <c r="B3" s="2" t="inlineStr">
        <is>
          <t>Production Process in Wet Processing</t>
        </is>
      </c>
    </row>
    <row r="4" ht="26.85" customHeight="1">
      <c r="A4" s="2" t="inlineStr">
        <is>
          <t>Number of Trainees:</t>
        </is>
      </c>
      <c r="B4" s="2" t="n">
        <v>25</v>
      </c>
    </row>
    <row r="6">
      <c r="A6" s="3" t="inlineStr">
        <is>
          <t>Course-wise Training Space (Theoretical Classroom, Workshop/ Lab/ Classroom cum Workshop)</t>
        </is>
      </c>
    </row>
    <row r="7">
      <c r="B7" s="2" t="inlineStr">
        <is>
          <t>Course Name</t>
        </is>
      </c>
      <c r="C7" s="2" t="inlineStr">
        <is>
          <t>SICIP required space for 25 trainees</t>
        </is>
      </c>
      <c r="D7" s="11" t="n"/>
      <c r="E7" s="11" t="n"/>
      <c r="F7" s="11" t="n"/>
      <c r="G7" s="12" t="n"/>
    </row>
    <row r="8" ht="52.2" customHeight="1">
      <c r="B8" s="2" t="inlineStr">
        <is>
          <t>Production Process in Wet Processing</t>
        </is>
      </c>
      <c r="C8" s="4" t="inlineStr">
        <is>
          <t>Classroom – 500 sft (46 sqm)
Workshop/Lab – 6,000 sft (557 sqm)
OR
Classroom cum workshop – 6,500 sft (603 sqm)</t>
        </is>
      </c>
      <c r="D8" s="11" t="n"/>
      <c r="E8" s="11" t="n"/>
      <c r="F8" s="11" t="n"/>
      <c r="G8" s="12" t="n"/>
    </row>
    <row r="11">
      <c r="A11" s="3" t="inlineStr">
        <is>
          <t>Major Training Equipment and Training Facilities</t>
        </is>
      </c>
    </row>
    <row r="13" ht="319" customHeight="1">
      <c r="A13" s="5" t="inlineStr">
        <is>
          <t>•The institute shall not use the same facilities for any other projects/organizations offering a similar course.
•The institute must provide sufficient evidence to prove ownership of the proposed training equipment.
The list denotes the minimum training equipment and facility required to effectively conduct training for a specific course. Additionally, the institute must ensure that all other necessary training tools, equipment, and furniture are available to meet the requirement of competency standards (CS) provided by SICIP.
For the operation of training course on Production Process in Wet Processing, the institute must ensure the availability of at least 80% of the major training equipment and training facilities (according to the CS) to be eligible for SICIP training delivery. If the score is below 80%, the remaining equipment and facilities need to be installed before the commencement of the training.
The workshop/lab must have an impervious, anti-slip and properly drained floor, adequate ventilation and exhaust, a separate and ventilated chemical store, a separate colour kitchen area, and a safe steam, water and effluent connection.
Because full-scale wet processing machinery is capital-intensive, a training institute that does not possess production-scale machines must establish a formal linkage with a dyeing, printing and finishing unit so that the practical sessions of the occupation-specific units can be conducted in an actual workplace under supervision.
The institute will also provide all other hand tools and power tools as per CS for 25 trainees. Also, they will arrange adequate seating arrangement and classroom setup for the 25 trainees.</t>
        </is>
      </c>
    </row>
    <row r="15" ht="26.85" customHeight="1">
      <c r="A15" s="6" t="inlineStr">
        <is>
          <t>S.N.</t>
        </is>
      </c>
      <c r="B15" s="6" t="inlineStr">
        <is>
          <t>Major Equipment and Training facilities</t>
        </is>
      </c>
      <c r="C15" s="6" t="inlineStr">
        <is>
          <t>Required facilities</t>
        </is>
      </c>
      <c r="D15" s="6" t="inlineStr">
        <is>
          <t>Available facilities</t>
        </is>
      </c>
      <c r="E15" s="6" t="inlineStr">
        <is>
          <t>Weights
(out of 10)</t>
        </is>
      </c>
      <c r="F15" s="6" t="inlineStr">
        <is>
          <t>Weighted scores</t>
        </is>
      </c>
      <c r="G15" s="6" t="inlineStr">
        <is>
          <t>Remarks</t>
        </is>
      </c>
    </row>
    <row r="16" ht="14.15" customHeight="1">
      <c r="A16" s="7" t="n">
        <v>1</v>
      </c>
      <c r="B16" s="8" t="inlineStr">
        <is>
          <t>Computer/Laptop</t>
        </is>
      </c>
      <c r="C16" s="9" t="n">
        <v>2</v>
      </c>
      <c r="D16" s="9" t="n">
        <v>0</v>
      </c>
      <c r="E16" s="9" t="n">
        <v>5</v>
      </c>
      <c r="F16" s="9">
        <f>IFERROR(MIN(C16,D16)*E16/C16,0)</f>
        <v/>
      </c>
      <c r="G16" s="9" t="n"/>
    </row>
    <row r="17" ht="14.15" customHeight="1">
      <c r="A17" s="7" t="n">
        <v>2</v>
      </c>
      <c r="B17" s="8" t="inlineStr">
        <is>
          <t>Multimedia projector &amp; screen</t>
        </is>
      </c>
      <c r="C17" s="9" t="n">
        <v>2</v>
      </c>
      <c r="D17" s="9" t="n">
        <v>0</v>
      </c>
      <c r="E17" s="9" t="n">
        <v>5</v>
      </c>
      <c r="F17" s="9">
        <f>IFERROR(MIN(C17,D17)*E17/C17,0)</f>
        <v/>
      </c>
      <c r="G17" s="9" t="n"/>
    </row>
    <row r="18" ht="14.15" customHeight="1">
      <c r="A18" s="7" t="n">
        <v>3</v>
      </c>
      <c r="B18" s="8" t="inlineStr">
        <is>
          <t>Printer</t>
        </is>
      </c>
      <c r="C18" s="9" t="n">
        <v>1</v>
      </c>
      <c r="D18" s="9" t="n">
        <v>0</v>
      </c>
      <c r="E18" s="9" t="n">
        <v>4</v>
      </c>
      <c r="F18" s="9">
        <f>IFERROR(MIN(C18,D18)*E18/C18,0)</f>
        <v/>
      </c>
      <c r="G18" s="9" t="n"/>
    </row>
    <row r="19" ht="14.15" customHeight="1">
      <c r="A19" s="7" t="n">
        <v>4</v>
      </c>
      <c r="B19" s="8" t="inlineStr">
        <is>
          <t>Scanner</t>
        </is>
      </c>
      <c r="C19" s="9" t="n">
        <v>1</v>
      </c>
      <c r="D19" s="9" t="n">
        <v>0</v>
      </c>
      <c r="E19" s="9" t="n">
        <v>4</v>
      </c>
      <c r="F19" s="9">
        <f>IFERROR(MIN(C19,D19)*E19/C19,0)</f>
        <v/>
      </c>
      <c r="G19" s="9" t="n"/>
    </row>
    <row r="20" ht="14.15" customHeight="1">
      <c r="A20" s="7" t="n">
        <v>5</v>
      </c>
      <c r="B20" s="8" t="inlineStr">
        <is>
          <t>Internet connection with Wi-Fi facility</t>
        </is>
      </c>
      <c r="C20" s="9" t="n">
        <v>1</v>
      </c>
      <c r="D20" s="9" t="n">
        <v>0</v>
      </c>
      <c r="E20" s="9" t="n">
        <v>5</v>
      </c>
      <c r="F20" s="9">
        <f>IFERROR(MIN(C20,D20)*E20/C20,0)</f>
        <v/>
      </c>
      <c r="G20" s="9" t="n"/>
    </row>
    <row r="21" ht="14.15" customHeight="1">
      <c r="A21" s="7" t="n">
        <v>6</v>
      </c>
      <c r="B21" s="8" t="inlineStr">
        <is>
          <t>Whiteboard with accessories</t>
        </is>
      </c>
      <c r="C21" s="9" t="n">
        <v>2</v>
      </c>
      <c r="D21" s="9" t="n">
        <v>0</v>
      </c>
      <c r="E21" s="9" t="n">
        <v>4</v>
      </c>
      <c r="F21" s="9">
        <f>IFERROR(MIN(C21,D21)*E21/C21,0)</f>
        <v/>
      </c>
      <c r="G21" s="9" t="n"/>
    </row>
    <row r="22" ht="14.15" customHeight="1">
      <c r="A22" s="7" t="n">
        <v>7</v>
      </c>
      <c r="B22" s="8" t="inlineStr">
        <is>
          <t>Sample/laboratory dyeing machine (infrared or glycerine bath, 8–12 pot)</t>
        </is>
      </c>
      <c r="C22" s="9" t="n">
        <v>1</v>
      </c>
      <c r="D22" s="9" t="n">
        <v>0</v>
      </c>
      <c r="E22" s="9" t="n">
        <v>10</v>
      </c>
      <c r="F22" s="9">
        <f>IFERROR(MIN(C22,D22)*E22/C22,0)</f>
        <v/>
      </c>
      <c r="G22" s="9" t="n"/>
    </row>
    <row r="23" ht="14.15" customHeight="1">
      <c r="A23" s="7" t="n">
        <v>8</v>
      </c>
      <c r="B23" s="8" t="inlineStr">
        <is>
          <t>Laboratory padding mangle (padder) with pressure adjustment</t>
        </is>
      </c>
      <c r="C23" s="9" t="n">
        <v>1</v>
      </c>
      <c r="D23" s="9" t="n">
        <v>0</v>
      </c>
      <c r="E23" s="9" t="n">
        <v>9</v>
      </c>
      <c r="F23" s="9">
        <f>IFERROR(MIN(C23,D23)*E23/C23,0)</f>
        <v/>
      </c>
      <c r="G23" s="9" t="n"/>
    </row>
    <row r="24" ht="14.15" customHeight="1">
      <c r="A24" s="7" t="n">
        <v>9</v>
      </c>
      <c r="B24" s="8" t="inlineStr">
        <is>
          <t>Sample dryer/relax dryer cum curing machine</t>
        </is>
      </c>
      <c r="C24" s="9" t="n">
        <v>1</v>
      </c>
      <c r="D24" s="9" t="n">
        <v>0</v>
      </c>
      <c r="E24" s="9" t="n">
        <v>8</v>
      </c>
      <c r="F24" s="9">
        <f>IFERROR(MIN(C24,D24)*E24/C24,0)</f>
        <v/>
      </c>
      <c r="G24" s="9" t="n"/>
    </row>
    <row r="25" ht="14.15" customHeight="1">
      <c r="A25" s="7" t="n">
        <v>10</v>
      </c>
      <c r="B25" s="8" t="inlineStr">
        <is>
          <t>Flat-bed screen printing table with squeegee set (Lab Version)</t>
        </is>
      </c>
      <c r="C25" s="9" t="n">
        <v>1</v>
      </c>
      <c r="D25" s="9" t="n">
        <v>0</v>
      </c>
      <c r="E25" s="9" t="n">
        <v>9</v>
      </c>
      <c r="F25" s="9">
        <f>IFERROR(MIN(C25,D25)*E25/C25,0)</f>
        <v/>
      </c>
      <c r="G25" s="9" t="inlineStr">
        <is>
          <t>1 set</t>
        </is>
      </c>
    </row>
    <row r="26" ht="14.15" customHeight="1">
      <c r="A26" s="7" t="n">
        <v>11</v>
      </c>
      <c r="B26" s="8" t="inlineStr">
        <is>
          <t>Screen frames, screens and squeegees (assorted mesh)</t>
        </is>
      </c>
      <c r="C26" s="9" t="n">
        <v>5</v>
      </c>
      <c r="D26" s="9" t="n">
        <v>0</v>
      </c>
      <c r="E26" s="9" t="n">
        <v>7</v>
      </c>
      <c r="F26" s="9">
        <f>IFERROR(MIN(C26,D26)*E26/C26,0)</f>
        <v/>
      </c>
      <c r="G26" s="9" t="inlineStr">
        <is>
          <t>5 sets</t>
        </is>
      </c>
    </row>
    <row r="27" ht="14.15" customHeight="1">
      <c r="A27" s="7" t="n">
        <v>12</v>
      </c>
      <c r="B27" s="8" t="inlineStr">
        <is>
          <t>Print paste mixer/stirrer with homogenizer</t>
        </is>
      </c>
      <c r="C27" s="9" t="n">
        <v>1</v>
      </c>
      <c r="D27" s="9" t="n">
        <v>0</v>
      </c>
      <c r="E27" s="9" t="n">
        <v>8</v>
      </c>
      <c r="F27" s="9">
        <f>IFERROR(MIN(C27,D27)*E27/C27,0)</f>
        <v/>
      </c>
      <c r="G27" s="9" t="n"/>
    </row>
    <row r="28" ht="14.15" customHeight="1">
      <c r="A28" s="7" t="n">
        <v>13</v>
      </c>
      <c r="B28" s="8" t="inlineStr">
        <is>
          <t>Colour kitchen arrangement with dissolving vessels, stirrers and dosing tanks</t>
        </is>
      </c>
      <c r="C28" s="9" t="n">
        <v>1</v>
      </c>
      <c r="D28" s="9" t="n">
        <v>0</v>
      </c>
      <c r="E28" s="9" t="n">
        <v>9</v>
      </c>
      <c r="F28" s="9">
        <f>IFERROR(MIN(C28,D28)*E28/C28,0)</f>
        <v/>
      </c>
      <c r="G28" s="9" t="inlineStr">
        <is>
          <t>1 set</t>
        </is>
      </c>
    </row>
    <row r="29" ht="14.15" customHeight="1">
      <c r="A29" s="7" t="n">
        <v>14</v>
      </c>
      <c r="B29" s="8" t="inlineStr">
        <is>
          <t>Analytical balance (0.001 g accuracy)</t>
        </is>
      </c>
      <c r="C29" s="9" t="n">
        <v>1</v>
      </c>
      <c r="D29" s="9" t="n">
        <v>0</v>
      </c>
      <c r="E29" s="9" t="n">
        <v>6</v>
      </c>
      <c r="F29" s="9">
        <f>IFERROR(MIN(C29,D29)*E29/C29,0)</f>
        <v/>
      </c>
      <c r="G29" s="9" t="n"/>
    </row>
    <row r="30" ht="14.15" customHeight="1">
      <c r="A30" s="7" t="n">
        <v>15</v>
      </c>
      <c r="B30" s="8" t="inlineStr">
        <is>
          <t>Electronic balance (0.01 g accuracy)</t>
        </is>
      </c>
      <c r="C30" s="9" t="n">
        <v>2</v>
      </c>
      <c r="D30" s="9" t="n">
        <v>0</v>
      </c>
      <c r="E30" s="9" t="n">
        <v>6</v>
      </c>
      <c r="F30" s="9">
        <f>IFERROR(MIN(C30,D30)*E30/C30,0)</f>
        <v/>
      </c>
      <c r="G30" s="9" t="n"/>
    </row>
    <row r="31" ht="14.15" customHeight="1">
      <c r="A31" s="7" t="n">
        <v>16</v>
      </c>
      <c r="B31" s="8" t="inlineStr">
        <is>
          <t>Platform/bulk weighing balance</t>
        </is>
      </c>
      <c r="C31" s="9" t="n">
        <v>1</v>
      </c>
      <c r="D31" s="9" t="n">
        <v>0</v>
      </c>
      <c r="E31" s="9" t="n">
        <v>5</v>
      </c>
      <c r="F31" s="9">
        <f>IFERROR(MIN(C31,D31)*E31/C31,0)</f>
        <v/>
      </c>
      <c r="G31" s="9" t="n"/>
    </row>
    <row r="32" ht="14.15" customHeight="1">
      <c r="A32" s="7" t="n">
        <v>17</v>
      </c>
      <c r="B32" s="8" t="inlineStr">
        <is>
          <t>Digital pH meter with buffer solutions</t>
        </is>
      </c>
      <c r="C32" s="9" t="n">
        <v>2</v>
      </c>
      <c r="D32" s="9" t="n">
        <v>0</v>
      </c>
      <c r="E32" s="9" t="n">
        <v>6</v>
      </c>
      <c r="F32" s="9">
        <f>IFERROR(MIN(C32,D32)*E32/C32,0)</f>
        <v/>
      </c>
      <c r="G32" s="9" t="n"/>
    </row>
    <row r="33" ht="14.15" customHeight="1">
      <c r="A33" s="7" t="n">
        <v>18</v>
      </c>
      <c r="B33" s="8" t="inlineStr">
        <is>
          <t>Spectrophotometer with colour matching software and computer</t>
        </is>
      </c>
      <c r="C33" s="9" t="n">
        <v>1</v>
      </c>
      <c r="D33" s="9" t="n">
        <v>0</v>
      </c>
      <c r="E33" s="9" t="n">
        <v>7</v>
      </c>
      <c r="F33" s="9">
        <f>IFERROR(MIN(C33,D33)*E33/C33,0)</f>
        <v/>
      </c>
      <c r="G33" s="9" t="inlineStr">
        <is>
          <t>1 set</t>
        </is>
      </c>
    </row>
    <row r="34" ht="14.15" customHeight="1">
      <c r="A34" s="7" t="n">
        <v>19</v>
      </c>
      <c r="B34" s="8" t="inlineStr">
        <is>
          <t>Light box/colour matching cabinet (D65, TL84, CWF, UV, incandescent A)</t>
        </is>
      </c>
      <c r="C34" s="9" t="n">
        <v>1</v>
      </c>
      <c r="D34" s="9" t="n">
        <v>0</v>
      </c>
      <c r="E34" s="9" t="n">
        <v>7</v>
      </c>
      <c r="F34" s="9">
        <f>IFERROR(MIN(C34,D34)*E34/C34,0)</f>
        <v/>
      </c>
      <c r="G34" s="9" t="n"/>
    </row>
    <row r="35" ht="14.15" customHeight="1">
      <c r="A35" s="7" t="n">
        <v>20</v>
      </c>
      <c r="B35" s="8" t="inlineStr">
        <is>
          <t>Crock meter (rubbing fastness tester)</t>
        </is>
      </c>
      <c r="C35" s="9" t="n">
        <v>1</v>
      </c>
      <c r="D35" s="9" t="n">
        <v>0</v>
      </c>
      <c r="E35" s="9" t="n">
        <v>6</v>
      </c>
      <c r="F35" s="9">
        <f>IFERROR(MIN(C35,D35)*E35/C35,0)</f>
        <v/>
      </c>
      <c r="G35" s="9" t="n"/>
    </row>
    <row r="36" ht="14.15" customHeight="1">
      <c r="A36" s="7" t="n">
        <v>21</v>
      </c>
      <c r="B36" s="8" t="inlineStr">
        <is>
          <t>Wash fastness tester (launder-o-meter/rota wash)</t>
        </is>
      </c>
      <c r="C36" s="9" t="n">
        <v>1</v>
      </c>
      <c r="D36" s="9" t="n">
        <v>0</v>
      </c>
      <c r="E36" s="9" t="n">
        <v>6</v>
      </c>
      <c r="F36" s="9">
        <f>IFERROR(MIN(C36,D36)*E36/C36,0)</f>
        <v/>
      </c>
      <c r="G36" s="9" t="n"/>
    </row>
    <row r="37" ht="14.15" customHeight="1">
      <c r="A37" s="7" t="n">
        <v>22</v>
      </c>
      <c r="B37" s="8" t="inlineStr">
        <is>
          <t>Perspiration tester with oven</t>
        </is>
      </c>
      <c r="C37" s="9" t="n">
        <v>1</v>
      </c>
      <c r="D37" s="9" t="n">
        <v>0</v>
      </c>
      <c r="E37" s="9" t="n">
        <v>6</v>
      </c>
      <c r="F37" s="9">
        <f>IFERROR(MIN(C37,D37)*E37/C37,0)</f>
        <v/>
      </c>
      <c r="G37" s="9" t="n"/>
    </row>
    <row r="38" ht="14.15" customHeight="1">
      <c r="A38" s="7" t="n">
        <v>23</v>
      </c>
      <c r="B38" s="8" t="inlineStr">
        <is>
          <t>Grey scale set for colour change and staining</t>
        </is>
      </c>
      <c r="C38" s="9" t="n">
        <v>2</v>
      </c>
      <c r="D38" s="9" t="n">
        <v>0</v>
      </c>
      <c r="E38" s="9" t="n">
        <v>5</v>
      </c>
      <c r="F38" s="9">
        <f>IFERROR(MIN(C38,D38)*E38/C38,0)</f>
        <v/>
      </c>
      <c r="G38" s="9" t="n"/>
    </row>
    <row r="39" ht="14.15" customHeight="1">
      <c r="A39" s="7" t="n">
        <v>24</v>
      </c>
      <c r="B39" s="8" t="inlineStr">
        <is>
          <t>GSM cutter with GSM balance</t>
        </is>
      </c>
      <c r="C39" s="9" t="n">
        <v>2</v>
      </c>
      <c r="D39" s="9" t="n">
        <v>0</v>
      </c>
      <c r="E39" s="9" t="n">
        <v>5</v>
      </c>
      <c r="F39" s="9">
        <f>IFERROR(MIN(C39,D39)*E39/C39,0)</f>
        <v/>
      </c>
      <c r="G39" s="9" t="n"/>
    </row>
    <row r="40" ht="14.15" customHeight="1">
      <c r="A40" s="7" t="n">
        <v>25</v>
      </c>
      <c r="B40" s="8" t="inlineStr">
        <is>
          <t>Shrinkage and spirality template with steel scale</t>
        </is>
      </c>
      <c r="C40" s="9" t="n">
        <v>2</v>
      </c>
      <c r="D40" s="9" t="n">
        <v>0</v>
      </c>
      <c r="E40" s="9" t="n">
        <v>5</v>
      </c>
      <c r="F40" s="9">
        <f>IFERROR(MIN(C40,D40)*E40/C40,0)</f>
        <v/>
      </c>
      <c r="G40" s="9" t="n"/>
    </row>
    <row r="41" ht="14.15" customHeight="1">
      <c r="A41" s="7" t="n">
        <v>26</v>
      </c>
      <c r="B41" s="8" t="inlineStr">
        <is>
          <t>Hydrometer/Baume meter set</t>
        </is>
      </c>
      <c r="C41" s="9" t="n">
        <v>2</v>
      </c>
      <c r="D41" s="9" t="n">
        <v>0</v>
      </c>
      <c r="E41" s="9" t="n">
        <v>5</v>
      </c>
      <c r="F41" s="9">
        <f>IFERROR(MIN(C41,D41)*E41/C41,0)</f>
        <v/>
      </c>
      <c r="G41" s="9" t="n"/>
    </row>
    <row r="42" ht="14.15" customHeight="1">
      <c r="A42" s="7" t="n">
        <v>27</v>
      </c>
      <c r="B42" s="8" t="inlineStr">
        <is>
          <t>Viscometer or flow cup for print paste</t>
        </is>
      </c>
      <c r="C42" s="9" t="n">
        <v>1</v>
      </c>
      <c r="D42" s="9" t="n">
        <v>0</v>
      </c>
      <c r="E42" s="9" t="n">
        <v>5</v>
      </c>
      <c r="F42" s="9">
        <f>IFERROR(MIN(C42,D42)*E42/C42,0)</f>
        <v/>
      </c>
      <c r="G42" s="9" t="n"/>
    </row>
    <row r="43" ht="14.15" customHeight="1">
      <c r="A43" s="7" t="n">
        <v>28</v>
      </c>
      <c r="B43" s="8" t="inlineStr">
        <is>
          <t>Digital thermometer and temperature probe</t>
        </is>
      </c>
      <c r="C43" s="9" t="n">
        <v>5</v>
      </c>
      <c r="D43" s="9" t="n">
        <v>0</v>
      </c>
      <c r="E43" s="9" t="n">
        <v>5</v>
      </c>
      <c r="F43" s="9">
        <f>IFERROR(MIN(C43,D43)*E43/C43,0)</f>
        <v/>
      </c>
      <c r="G43" s="9" t="n"/>
    </row>
    <row r="44" ht="14.15" customHeight="1">
      <c r="A44" s="7" t="n">
        <v>29</v>
      </c>
      <c r="B44" s="8" t="inlineStr">
        <is>
          <t>Moisture meter</t>
        </is>
      </c>
      <c r="C44" s="9" t="n">
        <v>2</v>
      </c>
      <c r="D44" s="9" t="n">
        <v>0</v>
      </c>
      <c r="E44" s="9" t="n">
        <v>5</v>
      </c>
      <c r="F44" s="9">
        <f>IFERROR(MIN(C44,D44)*E44/C44,0)</f>
        <v/>
      </c>
      <c r="G44" s="9" t="n"/>
    </row>
    <row r="45" ht="14.15" customHeight="1">
      <c r="A45" s="7" t="n">
        <v>30</v>
      </c>
      <c r="B45" s="8" t="inlineStr">
        <is>
          <t>Laboratory glassware set (beaker, measuring cylinder, pipette, burette, funnel, flask)</t>
        </is>
      </c>
      <c r="C45" s="9" t="n">
        <v>5</v>
      </c>
      <c r="D45" s="9" t="n">
        <v>0</v>
      </c>
      <c r="E45" s="9" t="n">
        <v>5</v>
      </c>
      <c r="F45" s="9">
        <f>IFERROR(MIN(C45,D45)*E45/C45,0)</f>
        <v/>
      </c>
      <c r="G45" s="9" t="inlineStr">
        <is>
          <t>5 sets</t>
        </is>
      </c>
    </row>
    <row r="46" ht="14.15" customHeight="1">
      <c r="A46" s="7" t="n">
        <v>31</v>
      </c>
      <c r="B46" s="8" t="inlineStr">
        <is>
          <t>Titration and laboratory chemical testing set</t>
        </is>
      </c>
      <c r="C46" s="9" t="n">
        <v>2</v>
      </c>
      <c r="D46" s="9" t="n">
        <v>0</v>
      </c>
      <c r="E46" s="9" t="n">
        <v>5</v>
      </c>
      <c r="F46" s="9">
        <f>IFERROR(MIN(C46,D46)*E46/C46,0)</f>
        <v/>
      </c>
      <c r="G46" s="9" t="n"/>
    </row>
    <row r="47" ht="14.15" customHeight="1">
      <c r="A47" s="7" t="n">
        <v>32</v>
      </c>
      <c r="B47" s="8" t="inlineStr">
        <is>
          <t>Strength tester (tensile/tearing/bursting) where available</t>
        </is>
      </c>
      <c r="C47" s="9" t="n">
        <v>1</v>
      </c>
      <c r="D47" s="9" t="n">
        <v>0</v>
      </c>
      <c r="E47" s="9" t="n">
        <v>6</v>
      </c>
      <c r="F47" s="9">
        <f>IFERROR(MIN(C47,D47)*E47/C47,0)</f>
        <v/>
      </c>
      <c r="G47" s="9" t="n"/>
    </row>
    <row r="48" ht="14.15" customHeight="1">
      <c r="A48" s="7" t="n">
        <v>33</v>
      </c>
      <c r="B48" s="8" t="inlineStr">
        <is>
          <t>Pilling and abrasion tester (where available)</t>
        </is>
      </c>
      <c r="C48" s="9" t="n">
        <v>1</v>
      </c>
      <c r="D48" s="9" t="n">
        <v>0</v>
      </c>
      <c r="E48" s="9" t="n">
        <v>6</v>
      </c>
      <c r="F48" s="9">
        <f>IFERROR(MIN(C48,D48)*E48/C48,0)</f>
        <v/>
      </c>
      <c r="G48" s="9" t="n"/>
    </row>
    <row r="49" ht="14.15" customHeight="1">
      <c r="A49" s="7" t="n">
        <v>34</v>
      </c>
      <c r="B49" s="8" t="inlineStr">
        <is>
          <t>Fabric inspection machine with lighting arrangement</t>
        </is>
      </c>
      <c r="C49" s="9" t="n">
        <v>1</v>
      </c>
      <c r="D49" s="9" t="n">
        <v>0</v>
      </c>
      <c r="E49" s="9" t="n">
        <v>6</v>
      </c>
      <c r="F49" s="9">
        <f>IFERROR(MIN(C49,D49)*E49/C49,0)</f>
        <v/>
      </c>
      <c r="G49" s="9" t="n"/>
    </row>
    <row r="50" ht="14.15" customHeight="1">
      <c r="A50" s="7" t="n">
        <v>35</v>
      </c>
      <c r="B50" s="8" t="inlineStr">
        <is>
          <t>Grey, pre-treated, dyed, printed and finished fabric samples (knit and woven)</t>
        </is>
      </c>
      <c r="C50" s="9" t="n"/>
      <c r="D50" s="9" t="n">
        <v>0</v>
      </c>
      <c r="E50" s="9" t="n">
        <v>3</v>
      </c>
      <c r="F50" s="9">
        <f>IFERROR(MIN(C50,D50)*E50/C50,0)</f>
        <v/>
      </c>
      <c r="G50" s="9" t="inlineStr">
        <is>
          <t>As required</t>
        </is>
      </c>
    </row>
    <row r="51" ht="14.15" customHeight="1">
      <c r="A51" s="7" t="n">
        <v>36</v>
      </c>
      <c r="B51" s="8" t="inlineStr">
        <is>
          <t>Dyes – reactive, disperse, direct, vat, sulphur, acid and pigment</t>
        </is>
      </c>
      <c r="C51" s="9" t="n"/>
      <c r="D51" s="9" t="n">
        <v>0</v>
      </c>
      <c r="E51" s="9" t="n">
        <v>3</v>
      </c>
      <c r="F51" s="9">
        <f>IFERROR(MIN(C51,D51)*E51/C51,0)</f>
        <v/>
      </c>
      <c r="G51" s="9" t="inlineStr">
        <is>
          <t>As required</t>
        </is>
      </c>
    </row>
    <row r="52" ht="14.15" customHeight="1">
      <c r="A52" s="7" t="n">
        <v>37</v>
      </c>
      <c r="B52" s="8" t="inlineStr">
        <is>
          <t>Chemicals and auxiliaries for pre-treatment, dyeing, printing and finishing</t>
        </is>
      </c>
      <c r="C52" s="9" t="n"/>
      <c r="D52" s="9" t="n">
        <v>0</v>
      </c>
      <c r="E52" s="9" t="n">
        <v>3</v>
      </c>
      <c r="F52" s="9">
        <f>IFERROR(MIN(C52,D52)*E52/C52,0)</f>
        <v/>
      </c>
      <c r="G52" s="9" t="inlineStr">
        <is>
          <t>As required</t>
        </is>
      </c>
    </row>
    <row r="53" ht="14.15" customHeight="1">
      <c r="A53" s="7" t="n">
        <v>38</v>
      </c>
      <c r="B53" s="8" t="inlineStr">
        <is>
          <t>Chemical storage rack/cabinet with segregation arrangement</t>
        </is>
      </c>
      <c r="C53" s="9" t="n">
        <v>2</v>
      </c>
      <c r="D53" s="9" t="n">
        <v>0</v>
      </c>
      <c r="E53" s="9" t="n">
        <v>4</v>
      </c>
      <c r="F53" s="9">
        <f>IFERROR(MIN(C53,D53)*E53/C53,0)</f>
        <v/>
      </c>
      <c r="G53" s="9" t="n"/>
    </row>
    <row r="54" ht="14.15" customHeight="1">
      <c r="A54" s="7" t="n">
        <v>39</v>
      </c>
      <c r="B54" s="8" t="inlineStr">
        <is>
          <t>Eye wash station and emergency safety shower</t>
        </is>
      </c>
      <c r="C54" s="9" t="n">
        <v>1</v>
      </c>
      <c r="D54" s="9" t="n">
        <v>0</v>
      </c>
      <c r="E54" s="9" t="n">
        <v>4</v>
      </c>
      <c r="F54" s="9">
        <f>IFERROR(MIN(C54,D54)*E54/C54,0)</f>
        <v/>
      </c>
      <c r="G54" s="9" t="inlineStr">
        <is>
          <t>1 set</t>
        </is>
      </c>
    </row>
    <row r="55" ht="14.15" customHeight="1">
      <c r="A55" s="7" t="n">
        <v>40</v>
      </c>
      <c r="B55" s="8" t="inlineStr">
        <is>
          <t>Chemical spill kit with absorbent and neutralizing material</t>
        </is>
      </c>
      <c r="C55" s="9" t="n">
        <v>2</v>
      </c>
      <c r="D55" s="9" t="n">
        <v>0</v>
      </c>
      <c r="E55" s="9" t="n">
        <v>4</v>
      </c>
      <c r="F55" s="9">
        <f>IFERROR(MIN(C55,D55)*E55/C55,0)</f>
        <v/>
      </c>
      <c r="G55" s="9" t="n"/>
    </row>
    <row r="56" ht="14.15" customHeight="1">
      <c r="A56" s="7" t="n">
        <v>41</v>
      </c>
      <c r="B56" s="8" t="inlineStr">
        <is>
          <t>Exhaust/ventilation arrangement for the laboratory and colour kitchen</t>
        </is>
      </c>
      <c r="C56" s="9" t="n">
        <v>1</v>
      </c>
      <c r="D56" s="9" t="n">
        <v>0</v>
      </c>
      <c r="E56" s="9" t="n">
        <v>4</v>
      </c>
      <c r="F56" s="9">
        <f>IFERROR(MIN(C56,D56)*E56/C56,0)</f>
        <v/>
      </c>
      <c r="G56" s="9" t="inlineStr">
        <is>
          <t>1 set</t>
        </is>
      </c>
    </row>
    <row r="57" ht="14.15" customHeight="1">
      <c r="A57" s="7" t="n">
        <v>42</v>
      </c>
      <c r="B57" s="8" t="inlineStr">
        <is>
          <t>Soft water supply/water softening arrangement</t>
        </is>
      </c>
      <c r="C57" s="9" t="n">
        <v>1</v>
      </c>
      <c r="D57" s="9" t="n">
        <v>0</v>
      </c>
      <c r="E57" s="9" t="n">
        <v>4</v>
      </c>
      <c r="F57" s="9">
        <f>IFERROR(MIN(C57,D57)*E57/C57,0)</f>
        <v/>
      </c>
      <c r="G57" s="9" t="n"/>
    </row>
    <row r="58" ht="14.15" customHeight="1">
      <c r="A58" s="7" t="n">
        <v>43</v>
      </c>
      <c r="B58" s="8" t="inlineStr">
        <is>
          <t>Waste segregation bins (colour coded)</t>
        </is>
      </c>
      <c r="C58" s="9" t="n">
        <v>4</v>
      </c>
      <c r="D58" s="9" t="n">
        <v>0</v>
      </c>
      <c r="E58" s="9" t="n">
        <v>3</v>
      </c>
      <c r="F58" s="9">
        <f>IFERROR(MIN(C58,D58)*E58/C58,0)</f>
        <v/>
      </c>
      <c r="G58" s="9" t="n"/>
    </row>
    <row r="59" ht="14.15" customHeight="1">
      <c r="A59" s="7" t="n">
        <v>44</v>
      </c>
      <c r="B59" s="8" t="inlineStr">
        <is>
          <t>Tool board with hand tool set (spanner, screwdriver, plier, scissors)</t>
        </is>
      </c>
      <c r="C59" s="9" t="n">
        <v>5</v>
      </c>
      <c r="D59" s="9" t="n">
        <v>0</v>
      </c>
      <c r="E59" s="9" t="n">
        <v>3</v>
      </c>
      <c r="F59" s="9">
        <f>IFERROR(MIN(C59,D59)*E59/C59,0)</f>
        <v/>
      </c>
      <c r="G59" s="9" t="n"/>
    </row>
    <row r="60" ht="14.15" customHeight="1">
      <c r="A60" s="7" t="n">
        <v>45</v>
      </c>
      <c r="B60" s="8" t="inlineStr">
        <is>
          <t>Fire extinguisher (appropriate types for chemical and electrical fire)</t>
        </is>
      </c>
      <c r="C60" s="9" t="n">
        <v>4</v>
      </c>
      <c r="D60" s="9" t="n">
        <v>0</v>
      </c>
      <c r="E60" s="9" t="n">
        <v>4</v>
      </c>
      <c r="F60" s="9">
        <f>IFERROR(MIN(C60,D60)*E60/C60,0)</f>
        <v/>
      </c>
      <c r="G60" s="9" t="n"/>
    </row>
    <row r="61" ht="14.15" customHeight="1">
      <c r="A61" s="7" t="n">
        <v>46</v>
      </c>
      <c r="B61" s="8" t="inlineStr">
        <is>
          <t>First aid box with eye wash bottle</t>
        </is>
      </c>
      <c r="C61" s="9" t="n">
        <v>2</v>
      </c>
      <c r="D61" s="9" t="n">
        <v>0</v>
      </c>
      <c r="E61" s="9" t="n">
        <v>4</v>
      </c>
      <c r="F61" s="9">
        <f>IFERROR(MIN(C61,D61)*E61/C61,0)</f>
        <v/>
      </c>
      <c r="G61" s="9" t="n"/>
    </row>
    <row r="62" ht="14.15" customHeight="1">
      <c r="A62" s="7" t="n">
        <v>47</v>
      </c>
      <c r="B62" s="8" t="inlineStr">
        <is>
          <t>PPE set (chemical goggles, chemical gloves, heat-resistant gloves, nose mask, apron, rubber boots, cap)</t>
        </is>
      </c>
      <c r="C62" s="9" t="n">
        <v>25</v>
      </c>
      <c r="D62" s="9" t="n">
        <v>0</v>
      </c>
      <c r="E62" s="9" t="n">
        <v>4</v>
      </c>
      <c r="F62" s="9">
        <f>IFERROR(MIN(C62,D62)*E62/C62,0)</f>
        <v/>
      </c>
      <c r="G62" s="9" t="inlineStr">
        <is>
          <t>25 sets</t>
        </is>
      </c>
    </row>
    <row r="63">
      <c r="A63" s="10" t="inlineStr">
        <is>
          <t>Sum</t>
        </is>
      </c>
      <c r="B63" s="11" t="n"/>
      <c r="C63" s="11" t="n"/>
      <c r="D63" s="12" t="n"/>
      <c r="E63" s="10">
        <f>SUM(E16:E62)</f>
        <v/>
      </c>
      <c r="F63" s="10">
        <f>SUM(F16:F62)</f>
        <v/>
      </c>
      <c r="G63" s="13" t="n"/>
    </row>
    <row r="64">
      <c r="A64" s="10" t="inlineStr">
        <is>
          <t>Score out of 100</t>
        </is>
      </c>
      <c r="B64" s="11" t="n"/>
      <c r="C64" s="11" t="n"/>
      <c r="D64" s="11" t="n"/>
      <c r="E64" s="12" t="n"/>
      <c r="F64" s="10">
        <f>F63/E63*100</f>
        <v/>
      </c>
      <c r="G64" s="13" t="n"/>
    </row>
    <row r="65" ht="9.75" customHeight="1"/>
    <row r="66">
      <c r="A66" s="10" t="inlineStr">
        <is>
          <t xml:space="preserve">Total achieved points out of 30  </t>
        </is>
      </c>
      <c r="B66" s="11" t="n"/>
      <c r="C66" s="11" t="n"/>
      <c r="D66" s="11" t="n"/>
      <c r="E66" s="12" t="n"/>
      <c r="F66" s="10">
        <f>F64*30/100</f>
        <v/>
      </c>
      <c r="G66" s="10" t="inlineStr">
        <is>
          <t>Points</t>
        </is>
      </c>
    </row>
  </sheetData>
  <mergeCells count="8">
    <mergeCell ref="A13:G13"/>
    <mergeCell ref="C7:G7"/>
    <mergeCell ref="A1:G1"/>
    <mergeCell ref="A64:E64"/>
    <mergeCell ref="A65:G65"/>
    <mergeCell ref="C8:G8"/>
    <mergeCell ref="A63:D63"/>
    <mergeCell ref="A66:E6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2026-10-06T13:53:11Z</dcterms:created>
  <dcterms:modified xmlns:dcterms="http://purl.org/dc/terms/" xmlns:xsi="http://www.w3.org/2001/XMLSchema-instance" xsi:type="dcterms:W3CDTF">2026-10-06T13:53:29Z</dcterms:modified>
</cp:coreProperties>
</file>
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Digital Marketing" sheetId="1" state="visible" r:id="rId1"/>
  </sheets>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name val="Arial"/>
      <b val="1"/>
      <sz val="14"/>
    </font>
    <font>
      <name val="Arial"/>
      <b val="1"/>
      <sz val="11"/>
    </font>
    <font>
      <name val="Arial"/>
      <sz val="11"/>
    </font>
  </fonts>
  <fills count="3">
    <fill>
      <patternFill/>
    </fill>
    <fill>
      <patternFill patternType="gray125"/>
    </fill>
    <fill>
      <patternFill patternType="solid">
        <fgColor rgb="FFD9D9D9"/>
      </patternFill>
    </fill>
  </fills>
  <borders count="6">
    <border>
      <left/>
      <right/>
      <top/>
      <bottom/>
      <diagonal/>
    </border>
    <border>
      <left style="thin"/>
      <right style="thin"/>
      <top style="thin"/>
      <bottom style="thin"/>
    </border>
    <border>
      <left/>
      <right/>
      <top style="thin"/>
      <bottom/>
      <diagonal/>
    </border>
    <border>
      <left/>
      <right style="thin"/>
      <top style="thin"/>
      <bottom/>
      <diagonal/>
    </border>
    <border>
      <left/>
      <right/>
      <top style="thin"/>
      <bottom style="thin"/>
      <diagonal/>
    </border>
    <border>
      <left/>
      <right style="thin"/>
      <top style="thin"/>
      <bottom style="thin"/>
      <diagonal/>
    </border>
  </borders>
  <cellStyleXfs count="1">
    <xf numFmtId="0" fontId="0" fillId="0" borderId="0"/>
  </cellStyleXfs>
  <cellXfs count="20">
    <xf numFmtId="0" fontId="0" fillId="0" borderId="0" pivotButton="0" quotePrefix="0" xfId="0"/>
    <xf numFmtId="0" fontId="1" fillId="0" borderId="0" applyAlignment="1" pivotButton="0" quotePrefix="0" xfId="0">
      <alignment horizontal="center" vertical="bottom"/>
    </xf>
    <xf numFmtId="0" fontId="2" fillId="0" borderId="1" applyAlignment="1" pivotButton="0" quotePrefix="0" xfId="0">
      <alignment horizontal="center" vertical="center" wrapText="1"/>
    </xf>
    <xf numFmtId="0" fontId="2" fillId="0" borderId="0" pivotButton="0" quotePrefix="0" xfId="0"/>
    <xf numFmtId="0" fontId="2" fillId="0" borderId="1" applyAlignment="1" pivotButton="0" quotePrefix="0" xfId="0">
      <alignment horizontal="left" vertical="center" wrapText="1"/>
    </xf>
    <xf numFmtId="0" fontId="3" fillId="0" borderId="0" applyAlignment="1" pivotButton="0" quotePrefix="0" xfId="0">
      <alignment horizontal="left" vertical="top" wrapText="1"/>
    </xf>
    <xf numFmtId="0" fontId="2" fillId="2" borderId="1" applyAlignment="1" pivotButton="0" quotePrefix="0" xfId="0">
      <alignment horizontal="center" vertical="center" wrapText="1"/>
    </xf>
    <xf numFmtId="0" fontId="3" fillId="0" borderId="1" applyAlignment="1" pivotButton="0" quotePrefix="0" xfId="0">
      <alignment horizontal="center" vertical="center"/>
    </xf>
    <xf numFmtId="0" fontId="3" fillId="0" borderId="1" applyAlignment="1" pivotButton="0" quotePrefix="0" xfId="0">
      <alignment horizontal="left" vertical="top" wrapText="1"/>
    </xf>
    <xf numFmtId="0" fontId="3" fillId="0" borderId="1" applyAlignment="1" pivotButton="0" quotePrefix="0" xfId="0">
      <alignment horizontal="center" vertical="center" wrapText="1"/>
    </xf>
    <xf numFmtId="0" fontId="2" fillId="0" borderId="1" applyAlignment="1" pivotButton="0" quotePrefix="0" xfId="0">
      <alignment horizontal="center" vertical="center"/>
    </xf>
    <xf numFmtId="0" fontId="0" fillId="0" borderId="4" pivotButton="0" quotePrefix="0" xfId="0"/>
    <xf numFmtId="0" fontId="0" fillId="0" borderId="5" pivotButton="0" quotePrefix="0" xfId="0"/>
    <xf numFmtId="0" fontId="2" fillId="0" borderId="1" pivotButton="0" quotePrefix="0" xfId="0"/>
    <xf numFmtId="0" fontId="3" fillId="0" borderId="1" applyAlignment="1" pivotButton="0" quotePrefix="0" xfId="0">
      <alignment horizontal="center" vertical="center"/>
    </xf>
    <xf numFmtId="0" fontId="2" fillId="0" borderId="1" applyAlignment="1" pivotButton="0" quotePrefix="0" xfId="0">
      <alignment horizontal="center" vertical="center"/>
    </xf>
    <xf numFmtId="0" fontId="3" fillId="0" borderId="1" applyAlignment="1" pivotButton="0" quotePrefix="0" xfId="0">
      <alignment horizontal="center" vertical="center"/>
    </xf>
    <xf numFmtId="0" fontId="2" fillId="0" borderId="1" applyAlignment="1" pivotButton="0" quotePrefix="0" xfId="0">
      <alignment horizontal="center" vertical="center"/>
    </xf>
    <xf numFmtId="0" fontId="3" fillId="0" borderId="1" applyAlignment="1" pivotButton="0" quotePrefix="0" xfId="0">
      <alignment horizontal="center" vertical="center"/>
    </xf>
    <xf numFmtId="0" fontId="2" fillId="0" borderId="1" applyAlignment="1" pivotButton="0" quotePrefix="0" xfId="0">
      <alignment horizontal="center" vertic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G28"/>
  <sheetViews>
    <sheetView workbookViewId="0">
      <selection activeCell="A1" sqref="A1"/>
    </sheetView>
  </sheetViews>
  <sheetFormatPr baseColWidth="8" defaultRowHeight="15"/>
  <cols>
    <col width="15.17" customWidth="1" min="1" max="1"/>
    <col width="33.13" customWidth="1" min="2" max="2"/>
    <col width="13.72" customWidth="1" min="3" max="3"/>
    <col width="13.72" customWidth="1" min="4" max="4"/>
    <col width="13.72" customWidth="1" min="5" max="5"/>
    <col width="13.72" customWidth="1" min="6" max="6"/>
    <col width="13.72" customWidth="1" min="7" max="7"/>
  </cols>
  <sheetData>
    <row r="1" ht="17.35" customHeight="1">
      <c r="A1" s="1" t="inlineStr">
        <is>
          <t>Course-wise Training Infrastructure and Facilities</t>
        </is>
      </c>
    </row>
    <row r="3">
      <c r="A3" s="2" t="inlineStr">
        <is>
          <t>Course Name:</t>
        </is>
      </c>
      <c r="B3" s="2" t="inlineStr">
        <is>
          <t>Digital Marketing, Freelancing and Entrepreneurship Development</t>
        </is>
      </c>
    </row>
    <row r="4" ht="26.85" customHeight="1">
      <c r="A4" s="2" t="inlineStr">
        <is>
          <t>Number of Trainees:</t>
        </is>
      </c>
      <c r="B4" s="2" t="n">
        <v>25</v>
      </c>
    </row>
    <row r="6">
      <c r="A6" s="3" t="inlineStr">
        <is>
          <t>Course-wise Training Space (Theoretical Classroom, Workshop/ Lab/ Classroom cum Workshop)</t>
        </is>
      </c>
    </row>
    <row r="7">
      <c r="B7" s="2" t="inlineStr">
        <is>
          <t>Course Name</t>
        </is>
      </c>
      <c r="C7" s="2" t="inlineStr">
        <is>
          <t>SICIP required space for 25 trainees</t>
        </is>
      </c>
      <c r="D7" s="11" t="n"/>
      <c r="E7" s="11" t="n"/>
      <c r="F7" s="11" t="n"/>
      <c r="G7" s="12" t="n"/>
    </row>
    <row r="8" ht="52.2" customHeight="1">
      <c r="B8" s="2" t="inlineStr">
        <is>
          <t>Digital Marketing, Freelancing and Entrepreneurship Development</t>
        </is>
      </c>
      <c r="C8" s="4" t="inlineStr">
        <is>
          <t>Classroom – 350 sft (33 sqm)
lab size – 500 sft (47 sqm)
OR
Classroom cum workshop – 500 sft (47 sqm)</t>
        </is>
      </c>
      <c r="D8" s="11" t="n"/>
      <c r="E8" s="11" t="n"/>
      <c r="F8" s="11" t="n"/>
      <c r="G8" s="12" t="n"/>
    </row>
    <row r="11">
      <c r="A11" s="3" t="inlineStr">
        <is>
          <t>Major Training Equipment and Training Facilities</t>
        </is>
      </c>
    </row>
    <row r="13" ht="115.65" customHeight="1">
      <c r="A13" s="5" t="inlineStr">
        <is>
          <t>•The institute shall not use the same facilities for any other projects/organizations offering a similar course.
•The institute must provide sufficient evidence to prove ownership of the proposed training equipment.
The list denotes the minimum training equipment and facility required to effectively conduct training for a specific course. Additionally, the institute must ensure that all other necessary training tools, equipment, and furniture are available to meet the requirement of competency standards (CS) provided by SICIP.
For the operation of training course on Digital Marketing, Freelancing and Entrepreneurship Development, the institute must ensure the availability of at least 80% of the major training equipment and training facilities (according to the CS) to be eligible for SICIP training delivery. If the score is below 80%, the remaining equipment and facilities need to be installed before the commencement of the training.
The institute will also provide all other hand tools and power tools as per CS for 25 trainees. Also, they will arrange adequate seating arrangement and classroom setup for the 25 trainees.</t>
        </is>
      </c>
    </row>
    <row r="15" ht="26.85" customHeight="1">
      <c r="A15" s="6" t="inlineStr">
        <is>
          <t>S.N.</t>
        </is>
      </c>
      <c r="B15" s="6" t="inlineStr">
        <is>
          <t>Major Equipment and Training facilities</t>
        </is>
      </c>
      <c r="C15" s="6" t="inlineStr">
        <is>
          <t>Required facilities</t>
        </is>
      </c>
      <c r="D15" s="6" t="inlineStr">
        <is>
          <t>Available facilities</t>
        </is>
      </c>
      <c r="E15" s="6" t="inlineStr">
        <is>
          <t>Weights
(out of 10)</t>
        </is>
      </c>
      <c r="F15" s="6" t="inlineStr">
        <is>
          <t>Weighted scores</t>
        </is>
      </c>
      <c r="G15" s="6" t="inlineStr">
        <is>
          <t>Remarks</t>
        </is>
      </c>
    </row>
    <row r="16" ht="14.15" customHeight="1">
      <c r="A16" s="18" t="n">
        <v>1</v>
      </c>
      <c r="B16" s="8" t="inlineStr">
        <is>
          <t>Computer/Laptop</t>
        </is>
      </c>
      <c r="C16" s="9" t="n">
        <v>1</v>
      </c>
      <c r="D16" s="9" t="n">
        <v>0</v>
      </c>
      <c r="E16" s="9" t="n">
        <v>8</v>
      </c>
      <c r="F16" s="9">
        <f>IFERROR(MIN(C16,D16)*E16/C16,0)</f>
        <v/>
      </c>
      <c r="G16" s="9" t="n"/>
    </row>
    <row r="17" ht="14.15" customHeight="1">
      <c r="A17" s="18" t="n">
        <v>2</v>
      </c>
      <c r="B17" s="8" t="inlineStr">
        <is>
          <t>Printer</t>
        </is>
      </c>
      <c r="C17" s="9" t="n">
        <v>1</v>
      </c>
      <c r="D17" s="9" t="n">
        <v>0</v>
      </c>
      <c r="E17" s="9" t="n">
        <v>6</v>
      </c>
      <c r="F17" s="9">
        <f>IFERROR(MIN(C17,D17)*E17/C17,0)</f>
        <v/>
      </c>
      <c r="G17" s="9" t="n"/>
    </row>
    <row r="18" ht="14.15" customHeight="1">
      <c r="A18" s="18" t="n">
        <v>3</v>
      </c>
      <c r="B18" s="8" t="inlineStr">
        <is>
          <t>Scanner</t>
        </is>
      </c>
      <c r="C18" s="9" t="n">
        <v>1</v>
      </c>
      <c r="D18" s="9" t="n">
        <v>0</v>
      </c>
      <c r="E18" s="9" t="n">
        <v>6</v>
      </c>
      <c r="F18" s="9">
        <f>IFERROR(MIN(C18,D18)*E18/C18,0)</f>
        <v/>
      </c>
      <c r="G18" s="9" t="n"/>
    </row>
    <row r="19" ht="14.15" customHeight="1">
      <c r="A19" s="18" t="n">
        <v>4</v>
      </c>
      <c r="B19" s="8" t="inlineStr">
        <is>
          <t>Computers/Laptop: (Minimum Intel core i5 or Intel core i3 6 gen/above, or AMD Ryzen similar spec, 8GB RAM (16GB preferred), 500GB SSD storage (1TB preferred), High-resolution monitors (19/20-inch minimum, with color accuracy).</t>
        </is>
      </c>
      <c r="C19" s="9" t="n">
        <v>25</v>
      </c>
      <c r="D19" s="9" t="n">
        <v>0</v>
      </c>
      <c r="E19" s="9" t="n">
        <v>10</v>
      </c>
      <c r="F19" s="9">
        <f>IFERROR(MIN(C19,D19)*E19/C19,0)</f>
        <v/>
      </c>
      <c r="G19" s="9" t="n"/>
    </row>
    <row r="20" ht="14.15" customHeight="1">
      <c r="A20" s="18" t="n">
        <v>5</v>
      </c>
      <c r="B20" s="8" t="inlineStr">
        <is>
          <t>Projector: High-resolution projector (HD or 4K) for instructor presentations, large screen for the room to ensure visibility for all trainees.</t>
        </is>
      </c>
      <c r="C20" s="9" t="n">
        <v>1</v>
      </c>
      <c r="D20" s="9" t="n">
        <v>0</v>
      </c>
      <c r="E20" s="9" t="n">
        <v>6</v>
      </c>
      <c r="F20" s="9">
        <f>IFERROR(MIN(C20,D20)*E20/C20,0)</f>
        <v/>
      </c>
      <c r="G20" s="9" t="n"/>
    </row>
    <row r="21" ht="14.15" customHeight="1">
      <c r="A21" s="18" t="n">
        <v>6</v>
      </c>
      <c r="B21" s="8" t="inlineStr">
        <is>
          <t>Tools: 
Office application, photo editing software and video editing software, SEO Tools, Social Media Management, Email Marketing, Content Creation, CRM, Data Entry, Affiliate Marketing, bid for job, ad campaigns</t>
        </is>
      </c>
      <c r="C21" s="9" t="n">
        <v>6</v>
      </c>
      <c r="D21" s="9" t="n">
        <v>0</v>
      </c>
      <c r="E21" s="9" t="n">
        <v>8</v>
      </c>
      <c r="F21" s="9">
        <f>IFERROR(MIN(C21,D21)*E21/C21,0)</f>
        <v/>
      </c>
      <c r="G21" s="9" t="n"/>
    </row>
    <row r="22" ht="14.15" customHeight="1">
      <c r="A22" s="18" t="n">
        <v>7</v>
      </c>
      <c r="B22" s="8" t="inlineStr">
        <is>
          <t>Ergonomic chairs and desks</t>
        </is>
      </c>
      <c r="C22" s="9" t="n">
        <v>25</v>
      </c>
      <c r="D22" s="9" t="n">
        <v>0</v>
      </c>
      <c r="E22" s="9" t="n">
        <v>5</v>
      </c>
      <c r="F22" s="9">
        <f>IFERROR(MIN(C22,D22)*E22/C22,0)</f>
        <v/>
      </c>
      <c r="G22" s="9" t="n"/>
    </row>
    <row r="23" ht="14.15" customHeight="1">
      <c r="A23" s="18" t="n">
        <v>8</v>
      </c>
      <c r="B23" s="8" t="inlineStr">
        <is>
          <t>Internet connectivity (Minimum 10 Mbps) with power back-up (at least 01 hour)</t>
        </is>
      </c>
      <c r="C23" s="9" t="n">
        <v>1</v>
      </c>
      <c r="D23" s="9" t="n">
        <v>0</v>
      </c>
      <c r="E23" s="9" t="n">
        <v>8</v>
      </c>
      <c r="F23" s="9">
        <f>IFERROR(MIN(C23,D23)*E23/C23,0)</f>
        <v/>
      </c>
      <c r="G23" s="9" t="n"/>
    </row>
    <row r="24">
      <c r="A24" s="19" t="inlineStr">
        <is>
          <t>Sum</t>
        </is>
      </c>
      <c r="B24" s="11" t="n"/>
      <c r="C24" s="11" t="n"/>
      <c r="D24" s="12" t="n"/>
      <c r="E24" s="19">
        <f>SUM(E16:E23)</f>
        <v/>
      </c>
      <c r="F24" s="19">
        <f>SUM(F16:F23)</f>
        <v/>
      </c>
      <c r="G24" s="13" t="n"/>
    </row>
    <row r="25">
      <c r="A25" s="19" t="inlineStr">
        <is>
          <t>Score out of 100</t>
        </is>
      </c>
      <c r="B25" s="11" t="n"/>
      <c r="C25" s="11" t="n"/>
      <c r="D25" s="11" t="n"/>
      <c r="E25" s="12" t="n"/>
      <c r="F25" s="19">
        <f>F24/E24*100</f>
        <v/>
      </c>
      <c r="G25" s="13" t="n"/>
    </row>
    <row r="26" ht="9.75" customHeight="1"/>
    <row r="27">
      <c r="A27" s="19" t="inlineStr">
        <is>
          <t xml:space="preserve">Total achieved points out of 30  </t>
        </is>
      </c>
      <c r="B27" s="11" t="n"/>
      <c r="C27" s="11" t="n"/>
      <c r="D27" s="11" t="n"/>
      <c r="E27" s="12" t="n"/>
      <c r="F27" s="19">
        <f>F25*30/100</f>
        <v/>
      </c>
      <c r="G27" s="19" t="inlineStr">
        <is>
          <t>Points</t>
        </is>
      </c>
    </row>
    <row r="28" ht="14.15" customHeight="1">
      <c r="A28" s="5" t="inlineStr">
        <is>
          <t>* For this course, the lab should be air-conditioned. Otherwise, the total points achieved will be halved.</t>
        </is>
      </c>
    </row>
  </sheetData>
  <mergeCells count="9">
    <mergeCell ref="A13:G13"/>
    <mergeCell ref="C7:G7"/>
    <mergeCell ref="A1:G1"/>
    <mergeCell ref="A25:E25"/>
    <mergeCell ref="A26:G26"/>
    <mergeCell ref="A24:D24"/>
    <mergeCell ref="C8:G8"/>
    <mergeCell ref="A27:E27"/>
    <mergeCell ref="A28:G28"/>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2026-08-17T07:23:47Z</dcterms:created>
  <dcterms:modified xmlns:dcterms="http://purl.org/dc/terms/" xmlns:xsi="http://www.w3.org/2001/XMLSchema-instance" xsi:type="dcterms:W3CDTF">2026-09-23T10:48:06Z</dcterms:modified>
</cp:coreProperties>
</file>
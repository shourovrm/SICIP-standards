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Spinning Winding Beaming"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
      <name val="Arial"/>
      <b val="1"/>
      <sz val="14"/>
    </font>
    <font>
      <name val="Arial"/>
      <b val="1"/>
      <sz val="11"/>
    </font>
    <font>
      <name val="Arial"/>
      <sz val="11"/>
    </font>
  </fonts>
  <fills count="4">
    <fill>
      <patternFill/>
    </fill>
    <fill>
      <patternFill patternType="gray125"/>
    </fill>
    <fill>
      <patternFill patternType="solid">
        <fgColor rgb="FFD9D9D9"/>
        <bgColor rgb="FFC0C0C0"/>
      </patternFill>
    </fill>
    <fill>
      <patternFill patternType="solid">
        <fgColor rgb="FFD9D9D9"/>
      </patternFill>
    </fill>
  </fills>
  <borders count="8">
    <border>
      <left/>
      <right/>
      <top/>
      <bottom/>
      <diagonal/>
    </border>
    <border>
      <left style="thin"/>
      <right style="thin"/>
      <top style="thin"/>
      <bottom style="thin"/>
      <diagonal/>
    </border>
    <border>
      <left style="thin"/>
      <right/>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0"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0" fillId="0" borderId="5" pivotButton="0" quotePrefix="0" xfId="0"/>
    <xf numFmtId="0" fontId="0" fillId="0" borderId="6" pivotButton="0" quotePrefix="0" xfId="0"/>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0" borderId="0" applyAlignment="1" pivotButton="0" quotePrefix="0" xfId="0">
      <alignment horizontal="center" vertical="bottom"/>
    </xf>
    <xf numFmtId="0" fontId="8" fillId="0" borderId="7" applyAlignment="1" pivotButton="0" quotePrefix="0" xfId="0">
      <alignment horizontal="center" vertical="center" wrapText="1"/>
    </xf>
    <xf numFmtId="0" fontId="8" fillId="0" borderId="0" pivotButton="0" quotePrefix="0" xfId="0"/>
    <xf numFmtId="0" fontId="8" fillId="0" borderId="7" applyAlignment="1" pivotButton="0" quotePrefix="0" xfId="0">
      <alignment horizontal="left" vertical="center" wrapText="1"/>
    </xf>
    <xf numFmtId="0" fontId="9" fillId="0" borderId="0" applyAlignment="1" pivotButton="0" quotePrefix="0" xfId="0">
      <alignment horizontal="left" vertical="top" wrapText="1"/>
    </xf>
    <xf numFmtId="0" fontId="8" fillId="3"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horizontal="left" vertical="top" wrapText="1"/>
    </xf>
    <xf numFmtId="0" fontId="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26.25" customHeight="1" s="20">
      <c r="A3" s="22" t="inlineStr">
        <is>
          <t>Course Name:</t>
        </is>
      </c>
      <c r="B3" s="22" t="inlineStr">
        <is>
          <t>Spinning, Winding, Beaming and Twisting Machine Operation</t>
        </is>
      </c>
    </row>
    <row r="4" ht="26.25" customHeight="1" s="20">
      <c r="A4" s="22" t="inlineStr">
        <is>
          <t>Number of Trainees:</t>
        </is>
      </c>
      <c r="B4" s="22" t="n">
        <v>30</v>
      </c>
    </row>
    <row r="6" ht="15" customHeight="1" s="20">
      <c r="A6" s="23" t="inlineStr">
        <is>
          <t>Course-wise Training Space (Theoretical Classroom, Workshop/ Lab/ Classroom cum Workshop)</t>
        </is>
      </c>
    </row>
    <row r="7" ht="15" customHeight="1" s="20">
      <c r="B7" s="22" t="inlineStr">
        <is>
          <t>Course Name</t>
        </is>
      </c>
      <c r="C7" s="22" t="inlineStr">
        <is>
          <t>SICIP required space for 30 trainees</t>
        </is>
      </c>
      <c r="D7" s="24" t="n"/>
      <c r="E7" s="24" t="n"/>
      <c r="F7" s="24" t="n"/>
      <c r="G7" s="25" t="n"/>
    </row>
    <row r="8" ht="51.75" customHeight="1" s="20">
      <c r="B8" s="22" t="inlineStr">
        <is>
          <t>Spinning, Winding, Beaming and Twisting Machine Operation</t>
        </is>
      </c>
      <c r="C8" s="26" t="inlineStr">
        <is>
          <t>Classroom – 350 sft (33 sqm)
Workshop/ lab – 800 sft (75 sqm)
                     OR
Classroom cum workshop – 1000 sft (93 sqm)</t>
        </is>
      </c>
      <c r="D8" s="24" t="n"/>
      <c r="E8" s="24" t="n"/>
      <c r="F8" s="24" t="n"/>
      <c r="G8" s="25"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Spinning, Winding, Beaming and Twisting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Computer/Laptops</t>
        </is>
      </c>
      <c r="C16" s="31" t="n">
        <v>1</v>
      </c>
      <c r="D16" s="31" t="n">
        <v>0</v>
      </c>
      <c r="E16" s="31" t="n">
        <v>5</v>
      </c>
      <c r="F16" s="31">
        <f>IFERROR(MIN(C16,D16)*E16/C16,0)</f>
        <v/>
      </c>
      <c r="G16" s="31" t="n"/>
    </row>
    <row r="17" ht="13.5" customHeight="1" s="20">
      <c r="A17" s="29" t="n">
        <v>2</v>
      </c>
      <c r="B17" s="30" t="inlineStr">
        <is>
          <t>Multimedia projector &amp; screen</t>
        </is>
      </c>
      <c r="C17" s="31" t="n">
        <v>1</v>
      </c>
      <c r="D17" s="31" t="n">
        <v>0</v>
      </c>
      <c r="E17" s="31" t="n">
        <v>5</v>
      </c>
      <c r="F17" s="31">
        <f>IFERROR(MIN(C17,D17)*E17/C17,0)</f>
        <v/>
      </c>
      <c r="G17" s="31" t="n"/>
    </row>
    <row r="18" ht="13.5" customHeight="1" s="20">
      <c r="A18" s="29" t="n">
        <v>3</v>
      </c>
      <c r="B18" s="30" t="inlineStr">
        <is>
          <t>Internet connectivity</t>
        </is>
      </c>
      <c r="C18" s="31" t="n">
        <v>1</v>
      </c>
      <c r="D18" s="31" t="n">
        <v>0</v>
      </c>
      <c r="E18" s="31" t="n">
        <v>5</v>
      </c>
      <c r="F18" s="31">
        <f>IFERROR(MIN(C18,D18)*E18/C18,0)</f>
        <v/>
      </c>
      <c r="G18" s="31" t="n"/>
    </row>
    <row r="19" ht="13.5" customHeight="1" s="20">
      <c r="A19" s="29" t="n">
        <v>4</v>
      </c>
      <c r="B19" s="30" t="inlineStr">
        <is>
          <t>White board</t>
        </is>
      </c>
      <c r="C19" s="31" t="n">
        <v>1</v>
      </c>
      <c r="D19" s="31" t="n">
        <v>0</v>
      </c>
      <c r="E19" s="31" t="n">
        <v>4</v>
      </c>
      <c r="F19" s="31">
        <f>IFERROR(MIN(C19,D19)*E19/C19,0)</f>
        <v/>
      </c>
      <c r="G19" s="31" t="n"/>
    </row>
    <row r="20" ht="13.5" customHeight="1" s="20">
      <c r="A20" s="29" t="n">
        <v>5</v>
      </c>
      <c r="B20" s="30" t="inlineStr">
        <is>
          <t>Jute spinning machine (minimum 80/100 spindles)</t>
        </is>
      </c>
      <c r="C20" s="31" t="n">
        <v>1</v>
      </c>
      <c r="D20" s="31" t="n">
        <v>0</v>
      </c>
      <c r="E20" s="31" t="n">
        <v>10</v>
      </c>
      <c r="F20" s="31">
        <f>IFERROR(MIN(C20,D20)*E20/C20,0)</f>
        <v/>
      </c>
      <c r="G20" s="31" t="n"/>
    </row>
    <row r="21" ht="13.5" customHeight="1" s="20">
      <c r="A21" s="29" t="n">
        <v>6</v>
      </c>
      <c r="B21" s="30" t="inlineStr">
        <is>
          <t>Winding machine (minimum 24 drums, both side)</t>
        </is>
      </c>
      <c r="C21" s="31" t="n">
        <v>1</v>
      </c>
      <c r="D21" s="31" t="n">
        <v>0</v>
      </c>
      <c r="E21" s="31" t="n">
        <v>9</v>
      </c>
      <c r="F21" s="31">
        <f>IFERROR(MIN(C21,D21)*E21/C21,0)</f>
        <v/>
      </c>
      <c r="G21" s="31" t="n"/>
    </row>
    <row r="22" ht="13.5" customHeight="1" s="20">
      <c r="A22" s="29" t="n">
        <v>7</v>
      </c>
      <c r="B22" s="30" t="inlineStr">
        <is>
          <t>Beaming machine</t>
        </is>
      </c>
      <c r="C22" s="31" t="n">
        <v>1</v>
      </c>
      <c r="D22" s="31" t="n">
        <v>0</v>
      </c>
      <c r="E22" s="31" t="n">
        <v>9</v>
      </c>
      <c r="F22" s="31">
        <f>IFERROR(MIN(C22,D22)*E22/C22,0)</f>
        <v/>
      </c>
      <c r="G22" s="31" t="n"/>
    </row>
    <row r="23" ht="13.5" customHeight="1" s="20">
      <c r="A23" s="29" t="n">
        <v>8</v>
      </c>
      <c r="B23" s="30" t="inlineStr">
        <is>
          <t>Twisting machine (minimum 80 spindles)</t>
        </is>
      </c>
      <c r="C23" s="31" t="n">
        <v>1</v>
      </c>
      <c r="D23" s="31" t="n">
        <v>0</v>
      </c>
      <c r="E23" s="31" t="n">
        <v>9</v>
      </c>
      <c r="F23" s="31">
        <f>IFERROR(MIN(C23,D23)*E23/C23,0)</f>
        <v/>
      </c>
      <c r="G23" s="31" t="n"/>
    </row>
    <row r="24" ht="13.5" customHeight="1" s="20">
      <c r="A24" s="29" t="n">
        <v>9</v>
      </c>
      <c r="B24" s="30" t="inlineStr">
        <is>
          <t>Warp reel and electronic balance for yarn count measurement</t>
        </is>
      </c>
      <c r="C24" s="31" t="n">
        <v>3</v>
      </c>
      <c r="D24" s="31" t="n">
        <v>0</v>
      </c>
      <c r="E24" s="31" t="n">
        <v>6</v>
      </c>
      <c r="F24" s="31">
        <f>IFERROR(MIN(C24,D24)*E24/C24,0)</f>
        <v/>
      </c>
      <c r="G24" s="31" t="n"/>
    </row>
    <row r="25" ht="13.5" customHeight="1" s="20">
      <c r="A25" s="29" t="n">
        <v>10</v>
      </c>
      <c r="B25" s="30" t="inlineStr">
        <is>
          <t>Twist tester</t>
        </is>
      </c>
      <c r="C25" s="31" t="n">
        <v>2</v>
      </c>
      <c r="D25" s="31" t="n">
        <v>0</v>
      </c>
      <c r="E25" s="31" t="n">
        <v>6</v>
      </c>
      <c r="F25" s="31">
        <f>IFERROR(MIN(C25,D25)*E25/C25,0)</f>
        <v/>
      </c>
      <c r="G25" s="31" t="n"/>
    </row>
    <row r="26" ht="13.5" customHeight="1" s="20">
      <c r="A26" s="29" t="n">
        <v>11</v>
      </c>
      <c r="B26" s="30" t="inlineStr">
        <is>
          <t>Tensile strength tester</t>
        </is>
      </c>
      <c r="C26" s="31" t="n">
        <v>1</v>
      </c>
      <c r="D26" s="31" t="n">
        <v>0</v>
      </c>
      <c r="E26" s="31" t="n">
        <v>6</v>
      </c>
      <c r="F26" s="31">
        <f>IFERROR(MIN(C26,D26)*E26/C26,0)</f>
        <v/>
      </c>
      <c r="G26" s="31" t="n"/>
    </row>
    <row r="27" ht="13.5" customHeight="1" s="20">
      <c r="A27" s="29" t="n">
        <v>12</v>
      </c>
      <c r="B27" s="30" t="inlineStr">
        <is>
          <t>Digital weighing scale</t>
        </is>
      </c>
      <c r="C27" s="31" t="n">
        <v>2</v>
      </c>
      <c r="D27" s="31" t="n">
        <v>0</v>
      </c>
      <c r="E27" s="31" t="n">
        <v>4</v>
      </c>
      <c r="F27" s="31">
        <f>IFERROR(MIN(C27,D27)*E27/C27,0)</f>
        <v/>
      </c>
      <c r="G27" s="31" t="n"/>
    </row>
    <row r="28" ht="13.5" customHeight="1" s="20">
      <c r="A28" s="29" t="n">
        <v>13</v>
      </c>
      <c r="B28" s="30" t="inlineStr">
        <is>
          <t>Moisture meter</t>
        </is>
      </c>
      <c r="C28" s="31" t="n">
        <v>2</v>
      </c>
      <c r="D28" s="31" t="n">
        <v>0</v>
      </c>
      <c r="E28" s="31" t="n">
        <v>4</v>
      </c>
      <c r="F28" s="31">
        <f>IFERROR(MIN(C28,D28)*E28/C28,0)</f>
        <v/>
      </c>
      <c r="G28" s="31" t="n"/>
    </row>
    <row r="29" ht="13.5" customHeight="1" s="20">
      <c r="A29" s="29" t="n">
        <v>14</v>
      </c>
      <c r="B29" s="30" t="inlineStr">
        <is>
          <t>Vernier caliper</t>
        </is>
      </c>
      <c r="C29" s="31" t="n">
        <v>2</v>
      </c>
      <c r="D29" s="31" t="n">
        <v>0</v>
      </c>
      <c r="E29" s="31" t="n">
        <v>3</v>
      </c>
      <c r="F29" s="31">
        <f>IFERROR(MIN(C29,D29)*E29/C29,0)</f>
        <v/>
      </c>
      <c r="G29" s="31" t="n"/>
    </row>
    <row r="30" ht="13.5" customHeight="1" s="20">
      <c r="A30" s="29" t="n">
        <v>15</v>
      </c>
      <c r="B30" s="30" t="inlineStr">
        <is>
          <t>Pneumatic splicer (portable)</t>
        </is>
      </c>
      <c r="C30" s="31" t="n">
        <v>5</v>
      </c>
      <c r="D30" s="31" t="n">
        <v>0</v>
      </c>
      <c r="E30" s="31" t="n">
        <v>6</v>
      </c>
      <c r="F30" s="31">
        <f>IFERROR(MIN(C30,D30)*E30/C30,0)</f>
        <v/>
      </c>
      <c r="G30" s="31" t="n"/>
    </row>
    <row r="31" ht="13.5" customHeight="1" s="20">
      <c r="A31" s="29" t="n">
        <v>16</v>
      </c>
      <c r="B31" s="30" t="inlineStr">
        <is>
          <t>Electronic yarn clearer unit (demonstration model)</t>
        </is>
      </c>
      <c r="C31" s="31" t="n">
        <v>1</v>
      </c>
      <c r="D31" s="31" t="n">
        <v>0</v>
      </c>
      <c r="E31" s="31" t="n">
        <v>6</v>
      </c>
      <c r="F31" s="31">
        <f>IFERROR(MIN(C31,D31)*E31/C31,0)</f>
        <v/>
      </c>
      <c r="G31" s="31" t="n"/>
    </row>
    <row r="32" ht="13.5" customHeight="1" s="20">
      <c r="A32" s="29" t="n">
        <v>17</v>
      </c>
      <c r="B32" s="30" t="inlineStr">
        <is>
          <t>Creel (minimum 100 peg capacity for warping practice)</t>
        </is>
      </c>
      <c r="C32" s="31" t="n">
        <v>1</v>
      </c>
      <c r="D32" s="31" t="n">
        <v>0</v>
      </c>
      <c r="E32" s="31" t="n">
        <v>7</v>
      </c>
      <c r="F32" s="31">
        <f>IFERROR(MIN(C32,D32)*E32/C32,0)</f>
        <v/>
      </c>
      <c r="G32" s="31" t="n"/>
    </row>
    <row r="33" ht="13.5" customHeight="1" s="20">
      <c r="A33" s="29" t="n">
        <v>18</v>
      </c>
      <c r="B33" s="30" t="inlineStr">
        <is>
          <t>Weaver's beam (flanged)</t>
        </is>
      </c>
      <c r="C33" s="31" t="n">
        <v>3</v>
      </c>
      <c r="D33" s="31" t="n">
        <v>0</v>
      </c>
      <c r="E33" s="31" t="n">
        <v>5</v>
      </c>
      <c r="F33" s="31">
        <f>IFERROR(MIN(C33,D33)*E33/C33,0)</f>
        <v/>
      </c>
      <c r="G33" s="31" t="n"/>
    </row>
    <row r="34" ht="13.5" customHeight="1" s="20">
      <c r="A34" s="29" t="n">
        <v>19</v>
      </c>
      <c r="B34" s="30" t="inlineStr">
        <is>
          <t>Bobbin / package trolley</t>
        </is>
      </c>
      <c r="C34" s="31" t="n">
        <v>4</v>
      </c>
      <c r="D34" s="31" t="n">
        <v>0</v>
      </c>
      <c r="E34" s="31" t="n">
        <v>4</v>
      </c>
      <c r="F34" s="31">
        <f>IFERROR(MIN(C34,D34)*E34/C34,0)</f>
        <v/>
      </c>
      <c r="G34" s="31" t="n"/>
    </row>
    <row r="35" ht="13.5" customHeight="1" s="20">
      <c r="A35" s="29" t="n">
        <v>20</v>
      </c>
      <c r="B35" s="30" t="inlineStr">
        <is>
          <t>Machine cleaning equipment (suction guns, cleaning brushes, blower machine)</t>
        </is>
      </c>
      <c r="C35" s="31" t="n">
        <v>3</v>
      </c>
      <c r="D35" s="31" t="n">
        <v>0</v>
      </c>
      <c r="E35" s="31" t="n">
        <v>3</v>
      </c>
      <c r="F35" s="31">
        <f>IFERROR(MIN(C35,D35)*E35/C35,0)</f>
        <v/>
      </c>
      <c r="G35" s="31" t="inlineStr">
        <is>
          <t>3 each</t>
        </is>
      </c>
    </row>
    <row r="36" ht="15" customHeight="1" s="20">
      <c r="A36" s="32" t="inlineStr">
        <is>
          <t>Sum</t>
        </is>
      </c>
      <c r="B36" s="24" t="n"/>
      <c r="C36" s="24" t="n"/>
      <c r="D36" s="25" t="n"/>
      <c r="E36" s="32">
        <f>SUM(E16:E35)</f>
        <v/>
      </c>
      <c r="F36" s="32">
        <f>SUM(F16:F35)</f>
        <v/>
      </c>
      <c r="G36" s="33" t="n"/>
    </row>
    <row r="37" ht="15" customHeight="1" s="20">
      <c r="A37" s="32" t="inlineStr">
        <is>
          <t>Score out of 100</t>
        </is>
      </c>
      <c r="B37" s="24" t="n"/>
      <c r="C37" s="24" t="n"/>
      <c r="D37" s="24" t="n"/>
      <c r="E37" s="25" t="n"/>
      <c r="F37" s="32">
        <f>F36/E36*100</f>
        <v/>
      </c>
      <c r="G37" s="33" t="n"/>
    </row>
    <row r="38" ht="9.75" customHeight="1" s="20">
      <c r="A38" s="19" t="n"/>
    </row>
    <row r="39" ht="15" customHeight="1" s="20">
      <c r="A39" s="32" t="inlineStr">
        <is>
          <t xml:space="preserve">Total achieved points out of 30  </t>
        </is>
      </c>
      <c r="B39" s="24" t="n"/>
      <c r="C39" s="24" t="n"/>
      <c r="D39" s="24" t="n"/>
      <c r="E39" s="25" t="n"/>
      <c r="F39" s="32">
        <f>F37*30/100</f>
        <v/>
      </c>
      <c r="G39" s="32" t="inlineStr">
        <is>
          <t>Points</t>
        </is>
      </c>
    </row>
  </sheetData>
  <mergeCells count="8">
    <mergeCell ref="A13:G13"/>
    <mergeCell ref="A39:E39"/>
    <mergeCell ref="C7:G7"/>
    <mergeCell ref="A1:G1"/>
    <mergeCell ref="A38:G38"/>
    <mergeCell ref="A37:E37"/>
    <mergeCell ref="C8:G8"/>
    <mergeCell ref="A36:D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2026-08-17T07:23:46Z</dcterms:created>
  <dcterms:modified xmlns:dcterms="http://purl.org/dc/terms/" xmlns:xsi="http://www.w3.org/2001/XMLSchema-instance" xsi:type="dcterms:W3CDTF">2026-08-31T10:08:32Z</dcterms:modified>
  <cp:revision>2</cp:revision>
</cp:coreProperties>
</file>
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xWindow="0" yWindow="0" windowWidth="16384" windowHeight="8192" tabRatio="500" firstSheet="0" autoFilterDateGrouping="1"/>
  </bookViews>
  <sheets>
    <sheet xmlns:r="http://schemas.openxmlformats.org/officeDocument/2006/relationships" name="Spinning Winding Beaming" sheetId="1" state="visible" r:id="rId1"/>
  </sheets>
  <definedNames/>
  <calcPr calcId="124519" fullCalcOnLoad="1" refMode="A1" iterate="0" iterateCount="100" iterateDelta="0.0001"/>
</workbook>
</file>

<file path=xl/styles.xml><?xml version="1.0" encoding="utf-8"?>
<styleSheet xmlns="http://schemas.openxmlformats.org/spreadsheetml/2006/main">
  <numFmts count="0"/>
  <fonts count="10">
    <font>
      <name val="Calibri"/>
      <charset val="1"/>
      <family val="2"/>
      <color theme="1"/>
      <sz val="11"/>
    </font>
    <font>
      <name val="Arial"/>
      <family val="0"/>
      <sz val="10"/>
    </font>
    <font>
      <name val="Arial"/>
      <family val="0"/>
      <sz val="10"/>
    </font>
    <font>
      <name val="Arial"/>
      <family val="0"/>
      <sz val="10"/>
    </font>
    <font>
      <name val="Arial"/>
      <charset val="1"/>
      <family val="0"/>
      <b val="1"/>
      <sz val="14"/>
    </font>
    <font>
      <name val="Arial"/>
      <charset val="1"/>
      <family val="0"/>
      <b val="1"/>
      <sz val="11"/>
    </font>
    <font>
      <name val="Arial"/>
      <charset val="1"/>
      <family val="0"/>
      <sz val="11"/>
    </font>
    <font>
      <name val="Arial"/>
      <b val="1"/>
      <sz val="14"/>
    </font>
    <font>
      <name val="Arial"/>
      <b val="1"/>
      <sz val="11"/>
    </font>
    <font>
      <name val="Arial"/>
      <sz val="11"/>
    </font>
  </fonts>
  <fills count="4">
    <fill>
      <patternFill/>
    </fill>
    <fill>
      <patternFill patternType="gray125"/>
    </fill>
    <fill>
      <patternFill patternType="solid">
        <fgColor rgb="FFD9D9D9"/>
        <bgColor rgb="FFC0C0C0"/>
      </patternFill>
    </fill>
    <fill>
      <patternFill patternType="solid">
        <fgColor rgb="FFD9D9D9"/>
      </patternFill>
    </fill>
  </fills>
  <borders count="8">
    <border>
      <left/>
      <right/>
      <top/>
      <bottom/>
      <diagonal/>
    </border>
    <border>
      <left style="thin"/>
      <right style="thin"/>
      <top style="thin"/>
      <bottom style="thin"/>
      <diagonal/>
    </border>
    <border>
      <left style="thin"/>
      <right/>
      <top style="thin"/>
      <bottom style="thin"/>
      <diagonal/>
    </border>
    <border>
      <left/>
      <right/>
      <top style="thin"/>
      <bottom/>
      <diagonal/>
    </border>
    <border>
      <left/>
      <right style="thin"/>
      <top style="thin"/>
      <bottom/>
      <diagonal/>
    </border>
    <border>
      <left/>
      <right/>
      <top style="thin"/>
      <bottom style="thin"/>
      <diagonal/>
    </border>
    <border>
      <left/>
      <right style="thin"/>
      <top style="thin"/>
      <bottom style="thin"/>
      <diagonal/>
    </border>
    <border>
      <left style="thin"/>
      <right style="thin"/>
      <top style="thin"/>
      <bottom style="thin"/>
    </border>
  </borders>
  <cellStyleXfs count="6">
    <xf numFmtId="0" fontId="0" fillId="0" borderId="0" applyAlignment="1">
      <alignment horizontal="general" vertical="bottom"/>
    </xf>
    <xf numFmtId="43" fontId="3" fillId="0" borderId="0"/>
    <xf numFmtId="41" fontId="3" fillId="0" borderId="0"/>
    <xf numFmtId="44" fontId="3" fillId="0" borderId="0"/>
    <xf numFmtId="42" fontId="3" fillId="0" borderId="0"/>
    <xf numFmtId="9" fontId="3" fillId="0" borderId="0"/>
  </cellStyleXfs>
  <cellXfs count="47">
    <xf numFmtId="0" fontId="0" fillId="0" borderId="0" applyAlignment="1" pivotButton="0" quotePrefix="0" xfId="0">
      <alignment horizontal="general" vertical="bottom"/>
    </xf>
    <xf numFmtId="0" fontId="0" fillId="0" borderId="0" applyAlignment="1" pivotButton="0" quotePrefix="0" xfId="0">
      <alignment horizontal="general" vertical="bottom"/>
    </xf>
    <xf numFmtId="0" fontId="4" fillId="0" borderId="0" applyAlignment="1" pivotButton="0" quotePrefix="0" xfId="0">
      <alignment horizontal="center" vertical="bottom"/>
    </xf>
    <xf numFmtId="0" fontId="5" fillId="0" borderId="1" applyAlignment="1" pivotButton="0" quotePrefix="0" xfId="0">
      <alignment horizontal="center" vertical="center" wrapText="1"/>
    </xf>
    <xf numFmtId="0" fontId="5" fillId="0" borderId="0" applyAlignment="1" pivotButton="0" quotePrefix="0" xfId="0">
      <alignment horizontal="general" vertical="bottom"/>
    </xf>
    <xf numFmtId="0" fontId="5" fillId="0" borderId="1" applyAlignment="1" pivotButton="0" quotePrefix="0" xfId="0">
      <alignment horizontal="left" vertical="center" wrapText="1"/>
    </xf>
    <xf numFmtId="0" fontId="6" fillId="0" borderId="0" applyAlignment="1" pivotButton="0" quotePrefix="0" xfId="0">
      <alignment horizontal="left" vertical="top" wrapText="1"/>
    </xf>
    <xf numFmtId="0" fontId="5" fillId="2" borderId="1" applyAlignment="1" pivotButton="0" quotePrefix="0" xfId="0">
      <alignment horizontal="center" vertical="center" wrapText="1"/>
    </xf>
    <xf numFmtId="0" fontId="6" fillId="0" borderId="1" applyAlignment="1" pivotButton="0" quotePrefix="0" xfId="0">
      <alignment horizontal="center" vertical="center"/>
    </xf>
    <xf numFmtId="0" fontId="6" fillId="0" borderId="1" applyAlignment="1" pivotButton="0" quotePrefix="0" xfId="0">
      <alignment horizontal="left" vertical="top" wrapText="1"/>
    </xf>
    <xf numFmtId="0" fontId="6" fillId="0" borderId="1" applyAlignment="1" pivotButton="0" quotePrefix="0" xfId="0">
      <alignment horizontal="center" vertical="center" wrapText="1"/>
    </xf>
    <xf numFmtId="0" fontId="5" fillId="0" borderId="1" applyAlignment="1" pivotButton="0" quotePrefix="0" xfId="0">
      <alignment horizontal="center" vertical="center"/>
    </xf>
    <xf numFmtId="0" fontId="5" fillId="0" borderId="1" applyAlignment="1" pivotButton="0" quotePrefix="0" xfId="0">
      <alignment horizontal="general" vertical="bottom"/>
    </xf>
    <xf numFmtId="0" fontId="0" fillId="0" borderId="0" applyAlignment="1" pivotButton="0" quotePrefix="0" xfId="0">
      <alignment horizontal="general" vertical="bottom"/>
    </xf>
    <xf numFmtId="0" fontId="5" fillId="0" borderId="2" applyAlignment="1" pivotButton="0" quotePrefix="0" xfId="0">
      <alignment horizontal="center" vertical="center" wrapText="1"/>
    </xf>
    <xf numFmtId="0" fontId="5" fillId="0" borderId="2" applyAlignment="1" pivotButton="0" quotePrefix="0" xfId="0">
      <alignment horizontal="left" vertical="center" wrapText="1"/>
    </xf>
    <xf numFmtId="0" fontId="5" fillId="0" borderId="0" applyAlignment="1" pivotButton="0" quotePrefix="0" xfId="0">
      <alignment horizontal="general" vertical="bottom"/>
    </xf>
    <xf numFmtId="0" fontId="5" fillId="0" borderId="1" applyAlignment="1" pivotButton="0" quotePrefix="0" xfId="0">
      <alignment horizontal="general" vertical="bottom"/>
    </xf>
    <xf numFmtId="0" fontId="0" fillId="0" borderId="0" applyAlignment="1" pivotButton="0" quotePrefix="0" xfId="0">
      <alignment horizontal="general" vertical="bottom"/>
    </xf>
    <xf numFmtId="0" fontId="0" fillId="0" borderId="0" applyAlignment="1" pivotButton="0" quotePrefix="0" xfId="0">
      <alignment horizontal="general" vertical="bottom"/>
    </xf>
    <xf numFmtId="0" fontId="0" fillId="0" borderId="0" pivotButton="0" quotePrefix="0" xfId="0"/>
    <xf numFmtId="0" fontId="4" fillId="0" borderId="0" applyAlignment="1" pivotButton="0" quotePrefix="0" xfId="0">
      <alignment horizontal="center" vertical="bottom"/>
    </xf>
    <xf numFmtId="0" fontId="5" fillId="0" borderId="1" applyAlignment="1" pivotButton="0" quotePrefix="0" xfId="0">
      <alignment horizontal="center" vertical="center" wrapText="1"/>
    </xf>
    <xf numFmtId="0" fontId="5" fillId="0" borderId="0" applyAlignment="1" pivotButton="0" quotePrefix="0" xfId="0">
      <alignment horizontal="general" vertical="bottom"/>
    </xf>
    <xf numFmtId="0" fontId="0" fillId="0" borderId="5" pivotButton="0" quotePrefix="0" xfId="0"/>
    <xf numFmtId="0" fontId="0" fillId="0" borderId="6" pivotButton="0" quotePrefix="0" xfId="0"/>
    <xf numFmtId="0" fontId="5" fillId="0" borderId="1" applyAlignment="1" pivotButton="0" quotePrefix="0" xfId="0">
      <alignment horizontal="left" vertical="center" wrapText="1"/>
    </xf>
    <xf numFmtId="0" fontId="6" fillId="0" borderId="0" applyAlignment="1" pivotButton="0" quotePrefix="0" xfId="0">
      <alignment horizontal="left" vertical="top" wrapText="1"/>
    </xf>
    <xf numFmtId="0" fontId="5" fillId="2" borderId="1" applyAlignment="1" pivotButton="0" quotePrefix="0" xfId="0">
      <alignment horizontal="center" vertical="center" wrapText="1"/>
    </xf>
    <xf numFmtId="0" fontId="6" fillId="0" borderId="1" applyAlignment="1" pivotButton="0" quotePrefix="0" xfId="0">
      <alignment horizontal="center" vertical="center"/>
    </xf>
    <xf numFmtId="0" fontId="6" fillId="0" borderId="1" applyAlignment="1" pivotButton="0" quotePrefix="0" xfId="0">
      <alignment horizontal="left" vertical="top" wrapText="1"/>
    </xf>
    <xf numFmtId="0" fontId="6" fillId="0" borderId="1" applyAlignment="1" pivotButton="0" quotePrefix="0" xfId="0">
      <alignment horizontal="center" vertical="center" wrapText="1"/>
    </xf>
    <xf numFmtId="0" fontId="5" fillId="0" borderId="1" applyAlignment="1" pivotButton="0" quotePrefix="0" xfId="0">
      <alignment horizontal="center" vertical="center"/>
    </xf>
    <xf numFmtId="0" fontId="5" fillId="0" borderId="1" applyAlignment="1" pivotButton="0" quotePrefix="0" xfId="0">
      <alignment horizontal="general" vertical="bottom"/>
    </xf>
    <xf numFmtId="0" fontId="5" fillId="0" borderId="2" applyAlignment="1" pivotButton="0" quotePrefix="0" xfId="0">
      <alignment horizontal="center" vertical="center" wrapText="1"/>
    </xf>
    <xf numFmtId="0" fontId="5" fillId="0" borderId="2" applyAlignment="1" pivotButton="0" quotePrefix="0" xfId="0">
      <alignment horizontal="left" vertical="center" wrapText="1"/>
    </xf>
    <xf numFmtId="0" fontId="7" fillId="0" borderId="0" applyAlignment="1" pivotButton="0" quotePrefix="0" xfId="0">
      <alignment horizontal="center" vertical="bottom"/>
    </xf>
    <xf numFmtId="0" fontId="8" fillId="0" borderId="7" applyAlignment="1" pivotButton="0" quotePrefix="0" xfId="0">
      <alignment horizontal="center" vertical="center" wrapText="1"/>
    </xf>
    <xf numFmtId="0" fontId="8" fillId="0" borderId="0" pivotButton="0" quotePrefix="0" xfId="0"/>
    <xf numFmtId="0" fontId="8" fillId="0" borderId="7" applyAlignment="1" pivotButton="0" quotePrefix="0" xfId="0">
      <alignment horizontal="left" vertical="center" wrapText="1"/>
    </xf>
    <xf numFmtId="0" fontId="9" fillId="0" borderId="0" applyAlignment="1" pivotButton="0" quotePrefix="0" xfId="0">
      <alignment horizontal="left" vertical="top" wrapText="1"/>
    </xf>
    <xf numFmtId="0" fontId="8" fillId="3" borderId="7" applyAlignment="1" pivotButton="0" quotePrefix="0" xfId="0">
      <alignment horizontal="center" vertical="center" wrapText="1"/>
    </xf>
    <xf numFmtId="0" fontId="9" fillId="0" borderId="7" applyAlignment="1" pivotButton="0" quotePrefix="0" xfId="0">
      <alignment horizontal="center" vertical="center"/>
    </xf>
    <xf numFmtId="0" fontId="9" fillId="0" borderId="7" applyAlignment="1" pivotButton="0" quotePrefix="0" xfId="0">
      <alignment horizontal="left" vertical="top" wrapText="1"/>
    </xf>
    <xf numFmtId="0" fontId="9" fillId="0" borderId="7" applyAlignment="1" pivotButton="0" quotePrefix="0" xfId="0">
      <alignment horizontal="center" vertical="center" wrapText="1"/>
    </xf>
    <xf numFmtId="0" fontId="8" fillId="0" borderId="7" applyAlignment="1" pivotButton="0" quotePrefix="0" xfId="0">
      <alignment horizontal="center" vertical="center"/>
    </xf>
    <xf numFmtId="0" fontId="8" fillId="0" borderId="7" pivotButton="0" quotePrefix="0" xfId="0"/>
  </cellXfs>
  <cellStyles count="6">
    <cellStyle name="Normal" xfId="0" builtinId="0"/>
    <cellStyle name="Comma" xfId="1" builtinId="3"/>
    <cellStyle name="Comma [0]" xfId="2" builtinId="6"/>
    <cellStyle name="Currency" xfId="3" builtinId="4"/>
    <cellStyle name="Currency [0]" xfId="4" builtinId="7"/>
    <cellStyle name="Percent" xfId="5" builtinId="5"/>
  </cellStyles>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C0C0C0"/>
      <rgbColor rgb="FF808080"/>
      <rgbColor rgb="FF9999FF"/>
      <rgbColor rgb="FF993366"/>
      <rgbColor rgb="FFFFFFCC"/>
      <rgbColor rgb="FFCCFFFF"/>
      <rgbColor rgb="FF660066"/>
      <rgbColor rgb="FFFF8080"/>
      <rgbColor rgb="FF0066CC"/>
      <rgbColor rgb="FFD9D9D9"/>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F99CC"/>
      <rgbColor rgb="FFCC99FF"/>
      <rgbColor rgb="FFFFCC99"/>
      <rgbColor rgb="FF3366FF"/>
      <rgbColor rgb="FF33CCCC"/>
      <rgbColor rgb="FF99CC00"/>
      <rgbColor rgb="FFFFCC00"/>
      <rgbColor rgb="FFFF9900"/>
      <rgbColor rgb="FFFF6600"/>
      <rgbColor rgb="FF666699"/>
      <rgbColor rgb="FF969696"/>
      <rgbColor rgb="FF003366"/>
      <rgbColor rgb="FF339966"/>
      <rgbColor rgb="FF003300"/>
      <rgbColor rgb="FF333300"/>
      <rgbColor rgb="FF993300"/>
      <rgbColor rgb="FF993366"/>
      <rgbColor rgb="FF333399"/>
      <rgbColor rgb="FF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sheet1.xml><?xml version="1.0" encoding="utf-8"?>
<worksheet xmlns="http://schemas.openxmlformats.org/spreadsheetml/2006/main">
  <sheetPr filterMode="0">
    <outlinePr summaryBelow="1" summaryRight="1"/>
    <pageSetUpPr fitToPage="0"/>
  </sheetPr>
  <dimension ref="A1:G39"/>
  <sheetViews>
    <sheetView showFormulas="0" showGridLines="1"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customHeight="0" zeroHeight="0" outlineLevelRow="0"/>
  <cols>
    <col width="15.17" customWidth="1" style="19" min="1" max="1"/>
    <col width="33.13" customWidth="1" style="19" min="2" max="2"/>
    <col width="13.72" customWidth="1" style="19" min="3" max="7"/>
  </cols>
  <sheetData>
    <row r="1" ht="17.25" customHeight="1" s="20">
      <c r="A1" s="21" t="inlineStr">
        <is>
          <t>Course-wise Training Infrastructure and Facilities</t>
        </is>
      </c>
    </row>
    <row r="3" ht="26.25" customHeight="1" s="20">
      <c r="A3" s="22" t="inlineStr">
        <is>
          <t>Course Name:</t>
        </is>
      </c>
      <c r="B3" s="22" t="inlineStr">
        <is>
          <t>Spinning, Winding, Beaming and Twisting Machine Operation</t>
        </is>
      </c>
    </row>
    <row r="4" ht="26.25" customHeight="1" s="20">
      <c r="A4" s="22" t="inlineStr">
        <is>
          <t>Number of Trainees:</t>
        </is>
      </c>
      <c r="B4" s="22" t="n">
        <v>30</v>
      </c>
    </row>
    <row r="6" ht="15" customHeight="1" s="20">
      <c r="A6" s="23" t="inlineStr">
        <is>
          <t>Course-wise Training Space (Theoretical Classroom, Workshop/ Lab/ Classroom cum Workshop)</t>
        </is>
      </c>
    </row>
    <row r="7" ht="15" customHeight="1" s="20">
      <c r="B7" s="22" t="inlineStr">
        <is>
          <t>Course Name</t>
        </is>
      </c>
      <c r="C7" s="22" t="inlineStr">
        <is>
          <t>SICIP required space for 30 trainees</t>
        </is>
      </c>
      <c r="D7" s="24" t="n"/>
      <c r="E7" s="24" t="n"/>
      <c r="F7" s="24" t="n"/>
      <c r="G7" s="25" t="n"/>
    </row>
    <row r="8" ht="51.75" customHeight="1" s="20">
      <c r="B8" s="22" t="inlineStr">
        <is>
          <t>Spinning, Winding, Beaming and Twisting Machine Operation</t>
        </is>
      </c>
      <c r="C8" s="26" t="inlineStr">
        <is>
          <t>Classroom – 350 sft (33 sqm)
Workshop/ lab – 800 sft (75 sqm)
                     OR
Classroom cum workshop – 1000 sft (93 sqm)</t>
        </is>
      </c>
      <c r="D8" s="24" t="n"/>
      <c r="E8" s="24" t="n"/>
      <c r="F8" s="24" t="n"/>
      <c r="G8" s="25" t="n"/>
    </row>
    <row r="11" ht="15" customHeight="1" s="20">
      <c r="A11" s="23" t="inlineStr">
        <is>
          <t>Major Training Equipment and Training Facilities</t>
        </is>
      </c>
    </row>
    <row r="13" ht="115.5" customHeight="1" s="20">
      <c r="A13" s="27" t="inlineStr">
        <is>
          <t>•The institute shall not use the same facilities for any other projects/organizations offering a similar course.
•The institute must provide sufficient evidence to prove ownership of the proposed training equipment.
The list denotes the minimum training equipment and facility required to effectively conduct training for a specific course. Additionally, the institute must ensure that all other necessary training tools, equipment, and furniture are available to meet the requirement of competency standards (CS) provided by SICIP.
For the operation of training course on Spinning, Winding, Beaming and Twisting Machine Operation, the institute must ensure the availability of at least 80% of the major training equipment and training facilities (according to the CS) to be eligible for SICIP training delivery. If the score is below 80%, the remaining equipment and facilities need to be installed before the commencement of the training.
The institute will also provide all other hand tools and power tools as per CS for 30 trainees. Also, they will arrange adequate seating arrangement and classroom setup for the 30 trainees.</t>
        </is>
      </c>
    </row>
    <row r="15" ht="26.25" customHeight="1" s="20">
      <c r="A15" s="28" t="inlineStr">
        <is>
          <t>S.N.</t>
        </is>
      </c>
      <c r="B15" s="28" t="inlineStr">
        <is>
          <t>Major Equipment and Training facilities</t>
        </is>
      </c>
      <c r="C15" s="28" t="inlineStr">
        <is>
          <t>Required facilities</t>
        </is>
      </c>
      <c r="D15" s="28" t="inlineStr">
        <is>
          <t>Available facilities</t>
        </is>
      </c>
      <c r="E15" s="28" t="inlineStr">
        <is>
          <t>Weights
(out of 10)</t>
        </is>
      </c>
      <c r="F15" s="28" t="inlineStr">
        <is>
          <t>Weighted scores</t>
        </is>
      </c>
      <c r="G15" s="28" t="inlineStr">
        <is>
          <t>Remarks</t>
        </is>
      </c>
    </row>
    <row r="16" ht="13.5" customHeight="1" s="20">
      <c r="A16" s="29" t="n">
        <v>1</v>
      </c>
      <c r="B16" s="30" t="inlineStr">
        <is>
          <t>Computer/Laptops</t>
        </is>
      </c>
      <c r="C16" s="31" t="n">
        <v>1</v>
      </c>
      <c r="D16" s="31" t="n"/>
      <c r="E16" s="31" t="n">
        <v>5</v>
      </c>
      <c r="F16" s="31">
        <f>IFERROR(MIN(C16,D16)*E16/C16,0)</f>
        <v/>
      </c>
      <c r="G16" s="31" t="n"/>
    </row>
    <row r="17" ht="13.5" customHeight="1" s="20">
      <c r="A17" s="29" t="n">
        <v>2</v>
      </c>
      <c r="B17" s="30" t="inlineStr">
        <is>
          <t>Multimedia projector &amp; screen</t>
        </is>
      </c>
      <c r="C17" s="31" t="n">
        <v>1</v>
      </c>
      <c r="D17" s="31" t="n"/>
      <c r="E17" s="31" t="n">
        <v>5</v>
      </c>
      <c r="F17" s="31">
        <f>IFERROR(MIN(C17,D17)*E17/C17,0)</f>
        <v/>
      </c>
      <c r="G17" s="31" t="n"/>
    </row>
    <row r="18" ht="13.5" customHeight="1" s="20">
      <c r="A18" s="29" t="n">
        <v>3</v>
      </c>
      <c r="B18" s="30" t="inlineStr">
        <is>
          <t>Internet connectivity</t>
        </is>
      </c>
      <c r="C18" s="31" t="n">
        <v>1</v>
      </c>
      <c r="D18" s="31" t="n"/>
      <c r="E18" s="31" t="n">
        <v>5</v>
      </c>
      <c r="F18" s="31">
        <f>IFERROR(MIN(C18,D18)*E18/C18,0)</f>
        <v/>
      </c>
      <c r="G18" s="31" t="n"/>
    </row>
    <row r="19" ht="13.5" customHeight="1" s="20">
      <c r="A19" s="29" t="n">
        <v>4</v>
      </c>
      <c r="B19" s="30" t="inlineStr">
        <is>
          <t>White board</t>
        </is>
      </c>
      <c r="C19" s="31" t="n">
        <v>1</v>
      </c>
      <c r="D19" s="31" t="n"/>
      <c r="E19" s="31" t="n">
        <v>4</v>
      </c>
      <c r="F19" s="31">
        <f>IFERROR(MIN(C19,D19)*E19/C19,0)</f>
        <v/>
      </c>
      <c r="G19" s="31" t="n"/>
    </row>
    <row r="20" ht="13.5" customHeight="1" s="20">
      <c r="A20" s="29" t="n">
        <v>5</v>
      </c>
      <c r="B20" s="30" t="inlineStr">
        <is>
          <t>Jute spinning machine (minimum 80/100 spindles)</t>
        </is>
      </c>
      <c r="C20" s="31" t="n">
        <v>1</v>
      </c>
      <c r="D20" s="31" t="n"/>
      <c r="E20" s="31" t="n">
        <v>10</v>
      </c>
      <c r="F20" s="31">
        <f>IFERROR(MIN(C20,D20)*E20/C20,0)</f>
        <v/>
      </c>
      <c r="G20" s="31" t="n"/>
    </row>
    <row r="21" ht="13.5" customHeight="1" s="20">
      <c r="A21" s="29" t="n">
        <v>6</v>
      </c>
      <c r="B21" s="30" t="inlineStr">
        <is>
          <t>Winding machine (minimum 24 drums, both side)</t>
        </is>
      </c>
      <c r="C21" s="31" t="n">
        <v>1</v>
      </c>
      <c r="D21" s="31" t="n"/>
      <c r="E21" s="31" t="n">
        <v>9</v>
      </c>
      <c r="F21" s="31">
        <f>IFERROR(MIN(C21,D21)*E21/C21,0)</f>
        <v/>
      </c>
      <c r="G21" s="31" t="n"/>
    </row>
    <row r="22" ht="13.5" customHeight="1" s="20">
      <c r="A22" s="29" t="n">
        <v>7</v>
      </c>
      <c r="B22" s="30" t="inlineStr">
        <is>
          <t>Beaming machine</t>
        </is>
      </c>
      <c r="C22" s="31" t="n">
        <v>1</v>
      </c>
      <c r="D22" s="31" t="n"/>
      <c r="E22" s="31" t="n">
        <v>9</v>
      </c>
      <c r="F22" s="31">
        <f>IFERROR(MIN(C22,D22)*E22/C22,0)</f>
        <v/>
      </c>
      <c r="G22" s="31" t="n"/>
    </row>
    <row r="23" ht="13.5" customHeight="1" s="20">
      <c r="A23" s="29" t="n">
        <v>8</v>
      </c>
      <c r="B23" s="30" t="inlineStr">
        <is>
          <t>Twisting machine (minimum 80 spindles)</t>
        </is>
      </c>
      <c r="C23" s="31" t="n">
        <v>1</v>
      </c>
      <c r="D23" s="31" t="n"/>
      <c r="E23" s="31" t="n">
        <v>9</v>
      </c>
      <c r="F23" s="31">
        <f>IFERROR(MIN(C23,D23)*E23/C23,0)</f>
        <v/>
      </c>
      <c r="G23" s="31" t="n"/>
    </row>
    <row r="24" ht="13.5" customHeight="1" s="20">
      <c r="A24" s="29" t="n">
        <v>9</v>
      </c>
      <c r="B24" s="30" t="inlineStr">
        <is>
          <t>Warp reel and electronic balance for yarn count measurement</t>
        </is>
      </c>
      <c r="C24" s="31" t="n">
        <v>3</v>
      </c>
      <c r="D24" s="31" t="n"/>
      <c r="E24" s="31" t="n">
        <v>6</v>
      </c>
      <c r="F24" s="31">
        <f>IFERROR(MIN(C24,D24)*E24/C24,0)</f>
        <v/>
      </c>
      <c r="G24" s="31" t="n"/>
    </row>
    <row r="25" ht="13.5" customHeight="1" s="20">
      <c r="A25" s="29" t="n">
        <v>10</v>
      </c>
      <c r="B25" s="30" t="inlineStr">
        <is>
          <t>Twist tester</t>
        </is>
      </c>
      <c r="C25" s="31" t="n">
        <v>2</v>
      </c>
      <c r="D25" s="31" t="n"/>
      <c r="E25" s="31" t="n">
        <v>6</v>
      </c>
      <c r="F25" s="31">
        <f>IFERROR(MIN(C25,D25)*E25/C25,0)</f>
        <v/>
      </c>
      <c r="G25" s="31" t="n"/>
    </row>
    <row r="26" ht="13.5" customHeight="1" s="20">
      <c r="A26" s="29" t="n">
        <v>11</v>
      </c>
      <c r="B26" s="30" t="inlineStr">
        <is>
          <t>Tensile strength tester</t>
        </is>
      </c>
      <c r="C26" s="31" t="n">
        <v>1</v>
      </c>
      <c r="D26" s="31" t="n"/>
      <c r="E26" s="31" t="n">
        <v>6</v>
      </c>
      <c r="F26" s="31">
        <f>IFERROR(MIN(C26,D26)*E26/C26,0)</f>
        <v/>
      </c>
      <c r="G26" s="31" t="n"/>
    </row>
    <row r="27" ht="13.5" customHeight="1" s="20">
      <c r="A27" s="29" t="n">
        <v>12</v>
      </c>
      <c r="B27" s="30" t="inlineStr">
        <is>
          <t>Digital weighing scale</t>
        </is>
      </c>
      <c r="C27" s="31" t="n">
        <v>2</v>
      </c>
      <c r="D27" s="31" t="n"/>
      <c r="E27" s="31" t="n">
        <v>4</v>
      </c>
      <c r="F27" s="31">
        <f>IFERROR(MIN(C27,D27)*E27/C27,0)</f>
        <v/>
      </c>
      <c r="G27" s="31" t="n"/>
    </row>
    <row r="28" ht="13.5" customHeight="1" s="20">
      <c r="A28" s="29" t="n">
        <v>13</v>
      </c>
      <c r="B28" s="30" t="inlineStr">
        <is>
          <t>Moisture meter</t>
        </is>
      </c>
      <c r="C28" s="31" t="n">
        <v>2</v>
      </c>
      <c r="D28" s="31" t="n"/>
      <c r="E28" s="31" t="n">
        <v>4</v>
      </c>
      <c r="F28" s="31">
        <f>IFERROR(MIN(C28,D28)*E28/C28,0)</f>
        <v/>
      </c>
      <c r="G28" s="31" t="n"/>
    </row>
    <row r="29" ht="13.5" customHeight="1" s="20">
      <c r="A29" s="29" t="n">
        <v>14</v>
      </c>
      <c r="B29" s="30" t="inlineStr">
        <is>
          <t>Vernier caliper</t>
        </is>
      </c>
      <c r="C29" s="31" t="n">
        <v>2</v>
      </c>
      <c r="D29" s="31" t="n"/>
      <c r="E29" s="31" t="n">
        <v>3</v>
      </c>
      <c r="F29" s="31">
        <f>IFERROR(MIN(C29,D29)*E29/C29,0)</f>
        <v/>
      </c>
      <c r="G29" s="31" t="n"/>
    </row>
    <row r="30" ht="13.5" customHeight="1" s="20">
      <c r="A30" s="29" t="n">
        <v>15</v>
      </c>
      <c r="B30" s="30" t="inlineStr">
        <is>
          <t>Pneumatic splicer (portable)</t>
        </is>
      </c>
      <c r="C30" s="31" t="n">
        <v>5</v>
      </c>
      <c r="D30" s="31" t="n"/>
      <c r="E30" s="31" t="n">
        <v>6</v>
      </c>
      <c r="F30" s="31">
        <f>IFERROR(MIN(C30,D30)*E30/C30,0)</f>
        <v/>
      </c>
      <c r="G30" s="31" t="n"/>
    </row>
    <row r="31" ht="13.5" customHeight="1" s="20">
      <c r="A31" s="29" t="n">
        <v>16</v>
      </c>
      <c r="B31" s="30" t="inlineStr">
        <is>
          <t>Electronic yarn clearer unit (demonstration model)</t>
        </is>
      </c>
      <c r="C31" s="31" t="n">
        <v>1</v>
      </c>
      <c r="D31" s="31" t="n"/>
      <c r="E31" s="31" t="n">
        <v>6</v>
      </c>
      <c r="F31" s="31">
        <f>IFERROR(MIN(C31,D31)*E31/C31,0)</f>
        <v/>
      </c>
      <c r="G31" s="31" t="n"/>
    </row>
    <row r="32" ht="13.5" customHeight="1" s="20">
      <c r="A32" s="29" t="n">
        <v>17</v>
      </c>
      <c r="B32" s="30" t="inlineStr">
        <is>
          <t>Creel (minimum 100 peg capacity for warping practice)</t>
        </is>
      </c>
      <c r="C32" s="31" t="n">
        <v>1</v>
      </c>
      <c r="D32" s="31" t="n"/>
      <c r="E32" s="31" t="n">
        <v>7</v>
      </c>
      <c r="F32" s="31">
        <f>IFERROR(MIN(C32,D32)*E32/C32,0)</f>
        <v/>
      </c>
      <c r="G32" s="31" t="n"/>
    </row>
    <row r="33" ht="13.5" customHeight="1" s="20">
      <c r="A33" s="29" t="n">
        <v>18</v>
      </c>
      <c r="B33" s="30" t="inlineStr">
        <is>
          <t>Weaver's beam (flanged)</t>
        </is>
      </c>
      <c r="C33" s="31" t="n">
        <v>3</v>
      </c>
      <c r="D33" s="31" t="n"/>
      <c r="E33" s="31" t="n">
        <v>5</v>
      </c>
      <c r="F33" s="31">
        <f>IFERROR(MIN(C33,D33)*E33/C33,0)</f>
        <v/>
      </c>
      <c r="G33" s="31" t="n"/>
    </row>
    <row r="34" ht="13.5" customHeight="1" s="20">
      <c r="A34" s="29" t="n">
        <v>19</v>
      </c>
      <c r="B34" s="30" t="inlineStr">
        <is>
          <t>Bobbin / package trolley</t>
        </is>
      </c>
      <c r="C34" s="31" t="n">
        <v>4</v>
      </c>
      <c r="D34" s="31" t="n"/>
      <c r="E34" s="31" t="n">
        <v>4</v>
      </c>
      <c r="F34" s="31">
        <f>IFERROR(MIN(C34,D34)*E34/C34,0)</f>
        <v/>
      </c>
      <c r="G34" s="31" t="n"/>
    </row>
    <row r="35" ht="13.5" customHeight="1" s="20">
      <c r="A35" s="29" t="n">
        <v>20</v>
      </c>
      <c r="B35" s="30" t="inlineStr">
        <is>
          <t>Machine cleaning equipment (suction guns, cleaning brushes, blower machine)</t>
        </is>
      </c>
      <c r="C35" s="31" t="n">
        <v>3</v>
      </c>
      <c r="D35" s="31" t="n"/>
      <c r="E35" s="31" t="n">
        <v>3</v>
      </c>
      <c r="F35" s="31">
        <f>IFERROR(MIN(C35,D35)*E35/C35,0)</f>
        <v/>
      </c>
      <c r="G35" s="31" t="inlineStr">
        <is>
          <t>3 each</t>
        </is>
      </c>
    </row>
    <row r="36" ht="15" customHeight="1" s="20">
      <c r="A36" s="32" t="inlineStr">
        <is>
          <t>Sum</t>
        </is>
      </c>
      <c r="B36" s="24" t="n"/>
      <c r="C36" s="24" t="n"/>
      <c r="D36" s="25" t="n"/>
      <c r="E36" s="32">
        <f>SUM(E16:E35)</f>
        <v/>
      </c>
      <c r="F36" s="32">
        <f>SUM(F16:F35)</f>
        <v/>
      </c>
      <c r="G36" s="33" t="n"/>
    </row>
    <row r="37" ht="15" customHeight="1" s="20">
      <c r="A37" s="32" t="inlineStr">
        <is>
          <t>Score out of 100</t>
        </is>
      </c>
      <c r="B37" s="24" t="n"/>
      <c r="C37" s="24" t="n"/>
      <c r="D37" s="24" t="n"/>
      <c r="E37" s="25" t="n"/>
      <c r="F37" s="32">
        <f>F36/E36*100</f>
        <v/>
      </c>
      <c r="G37" s="33" t="n"/>
    </row>
    <row r="38" ht="9.75" customHeight="1" s="20">
      <c r="A38" s="19" t="n"/>
    </row>
    <row r="39" ht="15" customHeight="1" s="20">
      <c r="A39" s="32" t="inlineStr">
        <is>
          <t xml:space="preserve">Total achieved points out of 30  </t>
        </is>
      </c>
      <c r="B39" s="24" t="n"/>
      <c r="C39" s="24" t="n"/>
      <c r="D39" s="24" t="n"/>
      <c r="E39" s="25" t="n"/>
      <c r="F39" s="32">
        <f>F37*30/100</f>
        <v/>
      </c>
      <c r="G39" s="32" t="inlineStr">
        <is>
          <t>Points</t>
        </is>
      </c>
    </row>
  </sheetData>
  <mergeCells count="8">
    <mergeCell ref="A13:G13"/>
    <mergeCell ref="A39:E39"/>
    <mergeCell ref="C7:G7"/>
    <mergeCell ref="A1:G1"/>
    <mergeCell ref="A38:G38"/>
    <mergeCell ref="A37:E37"/>
    <mergeCell ref="C8:G8"/>
    <mergeCell ref="A36:D36"/>
  </mergeCell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language xmlns:dc="http://purl.org/dc/elements/1.1/">en-US</dc:language>
  <dcterms:created xmlns:dcterms="http://purl.org/dc/terms/" xmlns:xsi="http://www.w3.org/2001/XMLSchema-instance" xsi:type="dcterms:W3CDTF">2026-08-17T07:23:46Z</dcterms:created>
  <dcterms:modified xmlns:dcterms="http://purl.org/dc/terms/" xmlns:xsi="http://www.w3.org/2001/XMLSchema-instance" xsi:type="dcterms:W3CDTF">2026-08-20T03:29:15Z</dcterms:modified>
  <cp:revision>2</cp:revision>
</cp:coreProperties>
</file>
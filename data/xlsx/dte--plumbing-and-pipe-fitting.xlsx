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Plumbing Pipe Fi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Water Basin</t>
        </is>
      </c>
      <c r="C20" s="9" t="n">
        <v>5</v>
      </c>
      <c r="D20" s="9" t="n"/>
      <c r="E20" s="9" t="n">
        <v>6</v>
      </c>
      <c r="F20" s="9">
        <f>IFERROR(MIN(C20,D20)*E20/C20,0)</f>
        <v/>
      </c>
      <c r="G20" s="9" t="n"/>
    </row>
    <row r="21" ht="14.15" customHeight="1">
      <c r="A21" s="7" t="n">
        <v>6</v>
      </c>
      <c r="B21" s="8" t="inlineStr">
        <is>
          <t>Western commode</t>
        </is>
      </c>
      <c r="C21" s="9" t="n">
        <v>5</v>
      </c>
      <c r="D21" s="9" t="n"/>
      <c r="E21" s="9" t="n">
        <v>6</v>
      </c>
      <c r="F21" s="9">
        <f>IFERROR(MIN(C21,D21)*E21/C21,0)</f>
        <v/>
      </c>
      <c r="G21" s="9" t="n"/>
    </row>
    <row r="22" ht="14.15" customHeight="1">
      <c r="A22" s="7" t="n">
        <v>7</v>
      </c>
      <c r="B22" s="8" t="inlineStr">
        <is>
          <t>Asian commode</t>
        </is>
      </c>
      <c r="C22" s="9" t="n">
        <v>5</v>
      </c>
      <c r="D22" s="9" t="n"/>
      <c r="E22" s="9" t="n">
        <v>6</v>
      </c>
      <c r="F22" s="9">
        <f>IFERROR(MIN(C22,D22)*E22/C22,0)</f>
        <v/>
      </c>
      <c r="G22" s="9" t="n"/>
    </row>
    <row r="23" ht="14.15" customHeight="1">
      <c r="A23" s="7" t="n">
        <v>8</v>
      </c>
      <c r="B23" s="8" t="inlineStr">
        <is>
          <t>Urinal</t>
        </is>
      </c>
      <c r="C23" s="9" t="n">
        <v>2</v>
      </c>
      <c r="D23" s="9" t="n"/>
      <c r="E23" s="9" t="n">
        <v>5</v>
      </c>
      <c r="F23" s="9">
        <f>IFERROR(MIN(C23,D23)*E23/C23,0)</f>
        <v/>
      </c>
      <c r="G23" s="9" t="n"/>
    </row>
    <row r="24" ht="14.15" customHeight="1">
      <c r="A24" s="7" t="n">
        <v>9</v>
      </c>
      <c r="B24" s="8" t="inlineStr">
        <is>
          <t>Shower unit</t>
        </is>
      </c>
      <c r="C24" s="9" t="n">
        <v>5</v>
      </c>
      <c r="D24" s="9" t="n"/>
      <c r="E24" s="9" t="n">
        <v>5</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4</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8</v>
      </c>
      <c r="F29" s="9">
        <f>IFERROR(MIN(C29,D29)*E29/C29,0)</f>
        <v/>
      </c>
      <c r="G29" s="9" t="n"/>
    </row>
    <row r="30" ht="14.15" customHeight="1">
      <c r="A30" s="7" t="n">
        <v>15</v>
      </c>
      <c r="B30" s="8" t="inlineStr">
        <is>
          <t>Thread cutter</t>
        </is>
      </c>
      <c r="C30" s="9" t="n">
        <v>16</v>
      </c>
      <c r="D30" s="9" t="n"/>
      <c r="E30" s="9" t="n">
        <v>6</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6</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8</v>
      </c>
      <c r="F34" s="9">
        <f>IFERROR(MIN(C34,D34)*E34/C34,0)</f>
        <v/>
      </c>
      <c r="G34" s="9" t="n"/>
    </row>
    <row r="35" ht="14.15" customHeight="1">
      <c r="A35" s="7" t="n">
        <v>20</v>
      </c>
      <c r="B35" s="8" t="inlineStr">
        <is>
          <t>Core cutting machine</t>
        </is>
      </c>
      <c r="C35" s="9" t="n">
        <v>1</v>
      </c>
      <c r="D35" s="9" t="n"/>
      <c r="E35" s="9" t="n">
        <v>7</v>
      </c>
      <c r="F35" s="9">
        <f>IFERROR(MIN(C35,D35)*E35/C35,0)</f>
        <v/>
      </c>
      <c r="G35" s="9" t="n"/>
    </row>
    <row r="36" ht="14.15" customHeight="1">
      <c r="A36" s="7" t="n">
        <v>21</v>
      </c>
      <c r="B36" s="8" t="inlineStr">
        <is>
          <t>Plastic septic tank</t>
        </is>
      </c>
      <c r="C36" s="9" t="n">
        <v>1</v>
      </c>
      <c r="D36" s="9" t="n"/>
      <c r="E36" s="9" t="n">
        <v>5</v>
      </c>
      <c r="F36" s="9">
        <f>IFERROR(MIN(C36,D36)*E36/C36,0)</f>
        <v/>
      </c>
      <c r="G36" s="9" t="n"/>
    </row>
    <row r="37" ht="14.15" customHeight="1">
      <c r="A37" s="7" t="n">
        <v>22</v>
      </c>
      <c r="B37" s="8" t="inlineStr">
        <is>
          <t>Water pump</t>
        </is>
      </c>
      <c r="C37" s="9" t="n">
        <v>5</v>
      </c>
      <c r="D37" s="9" t="n"/>
      <c r="E37" s="9" t="n">
        <v>6</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
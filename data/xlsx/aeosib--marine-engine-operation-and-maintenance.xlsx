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utoFilterDateGrouping="1"/>
  </bookViews>
  <sheets>
    <sheet xmlns:r="http://schemas.openxmlformats.org/officeDocument/2006/relationships" name="Marine Engine Op &amp; Maint"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7">
    <font>
      <name val="Calibri"/>
      <charset val="1"/>
      <family val="2"/>
      <color theme="1"/>
      <sz val="11"/>
    </font>
    <font>
      <name val="Arial"/>
      <family val="0"/>
      <sz val="10"/>
    </font>
    <font>
      <name val="Arial"/>
      <family val="0"/>
      <sz val="10"/>
    </font>
    <font>
      <name val="Arial"/>
      <family val="0"/>
      <sz val="10"/>
    </font>
    <font>
      <name val="Arial"/>
      <charset val="1"/>
      <family val="0"/>
      <b val="1"/>
      <sz val="14"/>
    </font>
    <font>
      <name val="Arial"/>
      <charset val="1"/>
      <family val="0"/>
      <b val="1"/>
      <sz val="11"/>
    </font>
    <font>
      <name val="Arial"/>
      <charset val="1"/>
      <family val="0"/>
      <sz val="11"/>
    </font>
  </fonts>
  <fills count="3">
    <fill>
      <patternFill/>
    </fill>
    <fill>
      <patternFill patternType="gray125"/>
    </fill>
    <fill>
      <patternFill patternType="solid">
        <fgColor rgb="FFD9D9D9"/>
        <bgColor rgb="FFC0C0C0"/>
      </patternFill>
    </fill>
  </fills>
  <borders count="7">
    <border>
      <left/>
      <right/>
      <top/>
      <bottom/>
      <diagonal/>
    </border>
    <border>
      <left style="thin"/>
      <right style="thin"/>
      <top style="thin"/>
      <bottom style="thin"/>
      <diagonal/>
    </border>
    <border>
      <left style="thin"/>
      <right/>
      <top style="thin"/>
      <bottom style="thin"/>
      <diagonal/>
    </border>
    <border>
      <left/>
      <right/>
      <top style="thin"/>
      <bottom/>
      <diagonal/>
    </border>
    <border>
      <left/>
      <right/>
      <top style="thin"/>
      <bottom style="thin"/>
      <diagonal/>
    </border>
    <border>
      <left/>
      <right style="thin"/>
      <top style="thin"/>
      <bottom/>
      <diagonal/>
    </border>
    <border>
      <left/>
      <right style="thin"/>
      <top style="thin"/>
      <bottom style="thin"/>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2">
    <xf numFmtId="0" fontId="0" fillId="0" borderId="0" applyAlignment="1" pivotButton="0" quotePrefix="0" xfId="0">
      <alignment horizontal="general" vertical="bottom"/>
    </xf>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2" applyAlignment="1" pivotButton="0" quotePrefix="0" xfId="0">
      <alignment horizontal="center" vertical="center" wrapText="1"/>
    </xf>
    <xf numFmtId="0" fontId="6" fillId="0" borderId="2"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5" fillId="0" borderId="1" applyAlignment="1" pivotButton="0" quotePrefix="0" xfId="0">
      <alignment horizontal="general" vertical="bottom"/>
    </xf>
    <xf numFmtId="0" fontId="0" fillId="0" borderId="0" applyAlignment="1" pivotButton="0" quotePrefix="0" xfId="0">
      <alignment horizontal="general" vertical="bottom"/>
    </xf>
    <xf numFmtId="0" fontId="0" fillId="0" borderId="0" applyAlignment="1" pivotButton="0" quotePrefix="0" xfId="0">
      <alignment horizontal="general" vertical="bottom"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center" vertical="bottom"/>
    </xf>
    <xf numFmtId="0" fontId="5" fillId="0" borderId="1" applyAlignment="1" pivotButton="0" quotePrefix="0" xfId="0">
      <alignment horizontal="center" vertical="center" wrapText="1"/>
    </xf>
    <xf numFmtId="0" fontId="5" fillId="0" borderId="0" applyAlignment="1" pivotButton="0" quotePrefix="0" xfId="0">
      <alignment horizontal="general" vertical="bottom"/>
    </xf>
    <xf numFmtId="0" fontId="5" fillId="0" borderId="2" applyAlignment="1" pivotButton="0" quotePrefix="0" xfId="0">
      <alignment horizontal="center" vertical="center" wrapText="1"/>
    </xf>
    <xf numFmtId="0" fontId="0" fillId="0" borderId="4" pivotButton="0" quotePrefix="0" xfId="0"/>
    <xf numFmtId="0" fontId="6" fillId="0" borderId="2" applyAlignment="1" pivotButton="0" quotePrefix="0" xfId="0">
      <alignment horizontal="left" vertical="center" wrapText="1"/>
    </xf>
    <xf numFmtId="0" fontId="6" fillId="0" borderId="0" applyAlignment="1" pivotButton="0" quotePrefix="0" xfId="0">
      <alignment horizontal="left" vertical="top" wrapText="1"/>
    </xf>
    <xf numFmtId="0" fontId="5" fillId="2" borderId="1" applyAlignment="1" pivotButton="0" quotePrefix="0" xfId="0">
      <alignment horizontal="center" vertical="center" wrapText="1"/>
    </xf>
    <xf numFmtId="0" fontId="6" fillId="0" borderId="1" applyAlignment="1" pivotButton="0" quotePrefix="0" xfId="0">
      <alignment horizontal="center" vertical="center"/>
    </xf>
    <xf numFmtId="0" fontId="6" fillId="0" borderId="1" applyAlignment="1" pivotButton="0" quotePrefix="0" xfId="0">
      <alignment horizontal="left" vertical="top" wrapText="1"/>
    </xf>
    <xf numFmtId="0" fontId="6" fillId="0" borderId="1" applyAlignment="1" pivotButton="0" quotePrefix="0" xfId="0">
      <alignment horizontal="center" vertical="center" wrapText="1"/>
    </xf>
    <xf numFmtId="0" fontId="5" fillId="0" borderId="1" applyAlignment="1" pivotButton="0" quotePrefix="0" xfId="0">
      <alignment horizontal="center" vertical="center"/>
    </xf>
    <xf numFmtId="0" fontId="0" fillId="0" borderId="6" pivotButton="0" quotePrefix="0" xfId="0"/>
    <xf numFmtId="0" fontId="5" fillId="0" borderId="1" applyAlignment="1" pivotButton="0" quotePrefix="0" xfId="0">
      <alignment horizontal="general" vertical="bottom"/>
    </xf>
    <xf numFmtId="0" fontId="0" fillId="0" borderId="0" applyAlignment="1" pivotButton="0" quotePrefix="0" xfId="0">
      <alignment horizontal="general" vertical="bottom"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G31"/>
  <sheetViews>
    <sheetView showFormulas="0" showGridLines="1" showRowColHeaders="1" showZeros="1" rightToLeft="0" tabSelected="0" showOutlineSymbols="1" defaultGridColor="1" view="normal" topLeftCell="A4" colorId="64" zoomScale="100" zoomScaleNormal="100" zoomScalePageLayoutView="100" workbookViewId="0">
      <selection pane="topLeft" activeCell="C8" activeCellId="0" sqref="C8"/>
    </sheetView>
  </sheetViews>
  <sheetFormatPr baseColWidth="8" defaultColWidth="8.6796875" defaultRowHeight="15" customHeight="0" zeroHeight="0" outlineLevelRow="0"/>
  <cols>
    <col width="15.17" customWidth="1" style="15" min="1" max="1"/>
    <col width="33.13" customWidth="1" style="15" min="2" max="2"/>
    <col width="13.72" customWidth="1" style="15" min="3" max="7"/>
  </cols>
  <sheetData>
    <row r="1" ht="17.25" customHeight="1" s="16">
      <c r="A1" s="17" t="inlineStr">
        <is>
          <t>Course-wise Training Infrastructure and Facilities</t>
        </is>
      </c>
    </row>
    <row r="3" ht="26.85" customHeight="1" s="16">
      <c r="A3" s="18" t="inlineStr">
        <is>
          <t>Course Name:</t>
        </is>
      </c>
      <c r="B3" s="18" t="inlineStr">
        <is>
          <t>Marine Engine Operation and Maintenance</t>
        </is>
      </c>
    </row>
    <row r="4" ht="26.25" customHeight="1" s="16">
      <c r="A4" s="18" t="inlineStr">
        <is>
          <t>Number of Trainees:</t>
        </is>
      </c>
      <c r="B4" s="18" t="n">
        <v>25</v>
      </c>
    </row>
    <row r="6" ht="15" customHeight="1" s="16">
      <c r="A6" s="19" t="inlineStr">
        <is>
          <t>Course-wise Training Space (Theoretical Classroom, Workshop/ Lab/ Classroom cum Workshop)</t>
        </is>
      </c>
    </row>
    <row r="7" ht="15" customHeight="1" s="16">
      <c r="B7" s="18" t="inlineStr">
        <is>
          <t>Course Name</t>
        </is>
      </c>
      <c r="C7" s="20" t="inlineStr">
        <is>
          <t>SICIP required space for 25 trainees</t>
        </is>
      </c>
      <c r="D7" s="21" t="n"/>
      <c r="E7" s="21" t="n"/>
      <c r="F7" s="21" t="n"/>
      <c r="G7" s="21" t="n"/>
    </row>
    <row r="8" ht="51.75" customHeight="1" s="16">
      <c r="B8" s="18" t="inlineStr">
        <is>
          <t>Marine Engine Operation and Maintenance</t>
        </is>
      </c>
      <c r="C8" s="22" t="inlineStr">
        <is>
          <t>Classroom – 350 sft (33 sqm)
Workshop/ lab – 800 sft (75 sq) OR
Classroom cum workshop – 1000 sft (93 sqm)</t>
        </is>
      </c>
      <c r="D8" s="21" t="n"/>
      <c r="E8" s="21" t="n"/>
      <c r="F8" s="21" t="n"/>
      <c r="G8" s="21" t="n"/>
    </row>
    <row r="11" ht="15" customHeight="1" s="16">
      <c r="A11" s="19" t="inlineStr">
        <is>
          <t>Major Training Equipment and Training Facilities</t>
        </is>
      </c>
    </row>
    <row r="13" ht="115.5" customHeight="1" s="16">
      <c r="A13" s="23"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Marine Engine Operation and Maintenance,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institute will also provide all other hand tools and power tools as per CS for 25 trainees. Also, they will arrange adequate seating arrangement and classroom setup for the 25 trainees.</t>
        </is>
      </c>
    </row>
    <row r="15" ht="26.25" customHeight="1" s="16">
      <c r="A15" s="24" t="inlineStr">
        <is>
          <t>S.N.</t>
        </is>
      </c>
      <c r="B15" s="24" t="inlineStr">
        <is>
          <t>Major Equipment and Training facilities</t>
        </is>
      </c>
      <c r="C15" s="24" t="inlineStr">
        <is>
          <t>Required facilities</t>
        </is>
      </c>
      <c r="D15" s="24" t="inlineStr">
        <is>
          <t>Available facilities</t>
        </is>
      </c>
      <c r="E15" s="24" t="inlineStr">
        <is>
          <t>Weights
(out of 10)</t>
        </is>
      </c>
      <c r="F15" s="24" t="inlineStr">
        <is>
          <t>Weighted scores</t>
        </is>
      </c>
      <c r="G15" s="24" t="inlineStr">
        <is>
          <t>Remarks</t>
        </is>
      </c>
    </row>
    <row r="16" ht="13.5" customHeight="1" s="16">
      <c r="A16" s="25" t="n">
        <v>1</v>
      </c>
      <c r="B16" s="26" t="inlineStr">
        <is>
          <t>Computer with internet connection</t>
        </is>
      </c>
      <c r="C16" s="27" t="n">
        <v>1</v>
      </c>
      <c r="D16" s="27" t="n">
        <v>0</v>
      </c>
      <c r="E16" s="27" t="n">
        <v>5</v>
      </c>
      <c r="F16" s="27">
        <f>IFERROR(MIN(C16,D16)*E16/C16,0)</f>
        <v/>
      </c>
      <c r="G16" s="27" t="n"/>
    </row>
    <row r="17" ht="13.5" customHeight="1" s="16">
      <c r="A17" s="25" t="n">
        <v>2</v>
      </c>
      <c r="B17" s="26" t="inlineStr">
        <is>
          <t>Projector and projector screen</t>
        </is>
      </c>
      <c r="C17" s="27" t="n">
        <v>1</v>
      </c>
      <c r="D17" s="27" t="n">
        <v>0</v>
      </c>
      <c r="E17" s="27" t="n">
        <v>5</v>
      </c>
      <c r="F17" s="27">
        <f>IFERROR(MIN(C17,D17)*E17/C17,0)</f>
        <v/>
      </c>
      <c r="G17" s="27" t="n"/>
    </row>
    <row r="18" ht="13.5" customHeight="1" s="16">
      <c r="A18" s="25" t="n">
        <v>3</v>
      </c>
      <c r="B18" s="26" t="inlineStr">
        <is>
          <t>Marine Diesel engine</t>
        </is>
      </c>
      <c r="C18" s="27" t="n">
        <v>3</v>
      </c>
      <c r="D18" s="27" t="n">
        <v>0</v>
      </c>
      <c r="E18" s="27" t="n">
        <v>10</v>
      </c>
      <c r="F18" s="27">
        <f>IFERROR(MIN(C18,D18)*E18/C18,0)</f>
        <v/>
      </c>
      <c r="G18" s="27" t="n"/>
    </row>
    <row r="19" ht="13.5" customHeight="1" s="16">
      <c r="A19" s="25" t="n">
        <v>4</v>
      </c>
      <c r="B19" s="26" t="inlineStr">
        <is>
          <t>Engine Cooler (Tube type)</t>
        </is>
      </c>
      <c r="C19" s="27" t="n">
        <v>1</v>
      </c>
      <c r="D19" s="27" t="n">
        <v>0</v>
      </c>
      <c r="E19" s="27" t="n">
        <v>6</v>
      </c>
      <c r="F19" s="27">
        <f>IFERROR(MIN(C19,D19)*E19/C19,0)</f>
        <v/>
      </c>
      <c r="G19" s="27" t="n"/>
    </row>
    <row r="20" ht="13.5" customHeight="1" s="16">
      <c r="A20" s="25" t="n">
        <v>5</v>
      </c>
      <c r="B20" s="26" t="inlineStr">
        <is>
          <t>Engine Cooler (Plate type)</t>
        </is>
      </c>
      <c r="C20" s="27" t="n">
        <v>1</v>
      </c>
      <c r="D20" s="27" t="n">
        <v>0</v>
      </c>
      <c r="E20" s="27" t="n">
        <v>6</v>
      </c>
      <c r="F20" s="27">
        <f>IFERROR(MIN(C20,D20)*E20/C20,0)</f>
        <v/>
      </c>
      <c r="G20" s="27" t="n"/>
    </row>
    <row r="21" ht="13.5" customHeight="1" s="16">
      <c r="A21" s="25" t="n">
        <v>6</v>
      </c>
      <c r="B21" s="26" t="inlineStr">
        <is>
          <t>Engine Crank shaft</t>
        </is>
      </c>
      <c r="C21" s="27" t="n">
        <v>1</v>
      </c>
      <c r="D21" s="27" t="n">
        <v>0</v>
      </c>
      <c r="E21" s="27" t="n">
        <v>7</v>
      </c>
      <c r="F21" s="27">
        <f>IFERROR(MIN(C21,D21)*E21/C21,0)</f>
        <v/>
      </c>
      <c r="G21" s="27" t="n"/>
    </row>
    <row r="22" ht="13.5" customHeight="1" s="16">
      <c r="A22" s="25" t="n">
        <v>7</v>
      </c>
      <c r="B22" s="26" t="inlineStr">
        <is>
          <t>Different engine component set</t>
        </is>
      </c>
      <c r="C22" s="27" t="n">
        <v>2</v>
      </c>
      <c r="D22" s="27" t="n">
        <v>0</v>
      </c>
      <c r="E22" s="27" t="n">
        <v>6</v>
      </c>
      <c r="F22" s="27">
        <f>IFERROR(MIN(C22,D22)*E22/C22,0)</f>
        <v/>
      </c>
      <c r="G22" s="27" t="n"/>
    </row>
    <row r="23" ht="13.5" customHeight="1" s="16">
      <c r="A23" s="25" t="n">
        <v>8</v>
      </c>
      <c r="B23" s="26" t="inlineStr">
        <is>
          <t>Centrifugal Pump</t>
        </is>
      </c>
      <c r="C23" s="27" t="n">
        <v>2</v>
      </c>
      <c r="D23" s="27" t="n">
        <v>0</v>
      </c>
      <c r="E23" s="27" t="n">
        <v>7</v>
      </c>
      <c r="F23" s="27">
        <f>IFERROR(MIN(C23,D23)*E23/C23,0)</f>
        <v/>
      </c>
      <c r="G23" s="27" t="n"/>
    </row>
    <row r="24" ht="13.5" customHeight="1" s="16">
      <c r="A24" s="25" t="n">
        <v>9</v>
      </c>
      <c r="B24" s="26" t="inlineStr">
        <is>
          <t>Positive displacement pump</t>
        </is>
      </c>
      <c r="C24" s="27" t="n">
        <v>2</v>
      </c>
      <c r="D24" s="27" t="n">
        <v>0</v>
      </c>
      <c r="E24" s="27" t="n">
        <v>7</v>
      </c>
      <c r="F24" s="27">
        <f>IFERROR(MIN(C24,D24)*E24/C24,0)</f>
        <v/>
      </c>
      <c r="G24" s="27" t="n"/>
    </row>
    <row r="25" ht="13.5" customHeight="1" s="16">
      <c r="A25" s="25" t="n">
        <v>10</v>
      </c>
      <c r="B25" s="26" t="inlineStr">
        <is>
          <t>Main bearing</t>
        </is>
      </c>
      <c r="C25" s="27" t="n">
        <v>1</v>
      </c>
      <c r="D25" s="27" t="n">
        <v>0</v>
      </c>
      <c r="E25" s="27" t="n">
        <v>4</v>
      </c>
      <c r="F25" s="27">
        <f>IFERROR(MIN(C25,D25)*E25/C25,0)</f>
        <v/>
      </c>
      <c r="G25" s="27" t="n"/>
    </row>
    <row r="26" ht="13.5" customHeight="1" s="16">
      <c r="A26" s="25" t="n">
        <v>11</v>
      </c>
      <c r="B26" s="26" t="inlineStr">
        <is>
          <t>Crank pin bearing</t>
        </is>
      </c>
      <c r="C26" s="27" t="n">
        <v>1</v>
      </c>
      <c r="D26" s="27" t="n">
        <v>0</v>
      </c>
      <c r="E26" s="27" t="n">
        <v>4</v>
      </c>
      <c r="F26" s="27">
        <f>IFERROR(MIN(C26,D26)*E26/C26,0)</f>
        <v/>
      </c>
      <c r="G26" s="27" t="n"/>
    </row>
    <row r="27" ht="13.5" customHeight="1" s="16">
      <c r="A27" s="25" t="n">
        <v>12</v>
      </c>
      <c r="B27" s="26" t="inlineStr">
        <is>
          <t>Battery (100 AH) with charger</t>
        </is>
      </c>
      <c r="C27" s="27" t="n">
        <v>1</v>
      </c>
      <c r="D27" s="27" t="n">
        <v>0</v>
      </c>
      <c r="E27" s="27" t="n">
        <v>5</v>
      </c>
      <c r="F27" s="27">
        <f>IFERROR(MIN(C27,D27)*E27/C27,0)</f>
        <v/>
      </c>
      <c r="G27" s="27" t="n"/>
    </row>
    <row r="28" ht="15" customHeight="1" s="16">
      <c r="A28" s="28" t="inlineStr">
        <is>
          <t>Sum</t>
        </is>
      </c>
      <c r="B28" s="21" t="n"/>
      <c r="C28" s="21" t="n"/>
      <c r="D28" s="29" t="n"/>
      <c r="E28" s="28">
        <f>SUM(E16:E27)</f>
        <v/>
      </c>
      <c r="F28" s="28">
        <f>SUM(F16:F27)</f>
        <v/>
      </c>
      <c r="G28" s="30" t="n"/>
    </row>
    <row r="29" ht="15" customHeight="1" s="16">
      <c r="A29" s="28" t="inlineStr">
        <is>
          <t>Score out of 100</t>
        </is>
      </c>
      <c r="B29" s="21" t="n"/>
      <c r="C29" s="21" t="n"/>
      <c r="D29" s="21" t="n"/>
      <c r="E29" s="29" t="n"/>
      <c r="F29" s="28">
        <f>F28/E28*100</f>
        <v/>
      </c>
      <c r="G29" s="30" t="n"/>
    </row>
    <row r="30" ht="9.75" customHeight="1" s="16">
      <c r="A30" s="15" t="n"/>
    </row>
    <row r="31" ht="15" customHeight="1" s="16">
      <c r="A31" s="28" t="inlineStr">
        <is>
          <t xml:space="preserve">Total achieved points out of 30  </t>
        </is>
      </c>
      <c r="B31" s="21" t="n"/>
      <c r="C31" s="21" t="n"/>
      <c r="D31" s="21" t="n"/>
      <c r="E31" s="29" t="n"/>
      <c r="F31" s="28">
        <f>F29*30/100</f>
        <v/>
      </c>
      <c r="G31" s="28" t="inlineStr">
        <is>
          <t>Points</t>
        </is>
      </c>
    </row>
  </sheetData>
  <mergeCells count="8">
    <mergeCell ref="A13:G13"/>
    <mergeCell ref="C8:G8"/>
    <mergeCell ref="C7:G7"/>
    <mergeCell ref="A29:E29"/>
    <mergeCell ref="A1:G1"/>
    <mergeCell ref="A30:G30"/>
    <mergeCell ref="A31:E31"/>
    <mergeCell ref="A28:D28"/>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2026-08-17T07:23:45Z</dcterms:created>
  <dcterms:modified xmlns:dcterms="http://purl.org/dc/terms/" xmlns:xsi="http://www.w3.org/2001/XMLSchema-instance" xsi:type="dcterms:W3CDTF">2026-09-09T06:51:06Z</dcterms:modified>
  <cp:revision>1</cp:revision>
</cp:coreProperties>
</file>
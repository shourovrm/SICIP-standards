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7-PLC Operation" sheetId="1" state="visible" r:id="rId1"/>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Arial"/>
      <b val="1"/>
      <sz val="14"/>
    </font>
    <font>
      <name val="Arial"/>
      <b val="1"/>
      <sz val="11"/>
    </font>
    <font>
      <name val="Arial"/>
      <sz val="11"/>
    </font>
  </fonts>
  <fills count="3">
    <fill>
      <patternFill/>
    </fill>
    <fill>
      <patternFill patternType="gray125"/>
    </fill>
    <fill>
      <patternFill patternType="solid">
        <fgColor rgb="FFD9D9D9"/>
      </patternFill>
    </fill>
  </fills>
  <borders count="6">
    <border>
      <left/>
      <right/>
      <top/>
      <bottom/>
      <diagonal/>
    </border>
    <border>
      <left style="thin"/>
      <right style="thin"/>
      <top style="thin"/>
      <bottom style="thin"/>
    </border>
    <border>
      <left/>
      <right/>
      <top style="thin"/>
      <bottom/>
      <diagonal/>
    </border>
    <border>
      <left/>
      <right style="thin"/>
      <top style="thin"/>
      <bottom/>
      <diagonal/>
    </border>
    <border>
      <left/>
      <right/>
      <top style="thin"/>
      <bottom style="thin"/>
      <diagonal/>
    </border>
    <border>
      <left/>
      <right style="thin"/>
      <top style="thin"/>
      <bottom style="thin"/>
      <diagonal/>
    </border>
  </borders>
  <cellStyleXfs count="1">
    <xf numFmtId="0" fontId="0" fillId="0" borderId="0"/>
  </cellStyleXfs>
  <cellXfs count="14">
    <xf numFmtId="0" fontId="0" fillId="0" borderId="0" pivotButton="0" quotePrefix="0" xfId="0"/>
    <xf numFmtId="0" fontId="1" fillId="0" borderId="0" applyAlignment="1" pivotButton="0" quotePrefix="0" xfId="0">
      <alignment horizontal="center" vertical="bottom"/>
    </xf>
    <xf numFmtId="0" fontId="2" fillId="0" borderId="1" applyAlignment="1" pivotButton="0" quotePrefix="0" xfId="0">
      <alignment horizontal="center" vertical="center" wrapText="1"/>
    </xf>
    <xf numFmtId="0" fontId="2" fillId="0" borderId="0" pivotButton="0" quotePrefix="0" xfId="0"/>
    <xf numFmtId="0" fontId="2" fillId="0" borderId="1" applyAlignment="1" pivotButton="0" quotePrefix="0" xfId="0">
      <alignment horizontal="left" vertical="center" wrapText="1"/>
    </xf>
    <xf numFmtId="0" fontId="3" fillId="0" borderId="0" applyAlignment="1" pivotButton="0" quotePrefix="0" xfId="0">
      <alignment horizontal="left" vertical="top" wrapText="1"/>
    </xf>
    <xf numFmtId="0" fontId="2" fillId="2" borderId="1" applyAlignment="1" pivotButton="0" quotePrefix="0" xfId="0">
      <alignment horizontal="center" vertical="center" wrapText="1"/>
    </xf>
    <xf numFmtId="0" fontId="3" fillId="0" borderId="1" applyAlignment="1" pivotButton="0" quotePrefix="0" xfId="0">
      <alignment horizontal="center" vertical="center"/>
    </xf>
    <xf numFmtId="0" fontId="3" fillId="0" borderId="1" applyAlignment="1" pivotButton="0" quotePrefix="0" xfId="0">
      <alignment horizontal="left" vertical="top" wrapText="1"/>
    </xf>
    <xf numFmtId="0" fontId="3" fillId="0" borderId="1" applyAlignment="1" pivotButton="0" quotePrefix="0" xfId="0">
      <alignment horizontal="center" vertical="center" wrapText="1"/>
    </xf>
    <xf numFmtId="0" fontId="2" fillId="0" borderId="1" applyAlignment="1" pivotButton="0" quotePrefix="0" xfId="0">
      <alignment horizontal="center" vertical="center"/>
    </xf>
    <xf numFmtId="0" fontId="0" fillId="0" borderId="4" pivotButton="0" quotePrefix="0" xfId="0"/>
    <xf numFmtId="0" fontId="0" fillId="0" borderId="5" pivotButton="0" quotePrefix="0" xfId="0"/>
    <xf numFmtId="0" fontId="2"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48"/>
  <sheetViews>
    <sheetView workbookViewId="0">
      <selection activeCell="A1" sqref="A1"/>
    </sheetView>
  </sheetViews>
  <sheetFormatPr baseColWidth="8" defaultRowHeight="15"/>
  <cols>
    <col width="15.17" customWidth="1" min="1" max="1"/>
    <col width="33.13" customWidth="1" min="2" max="2"/>
    <col width="13.72" customWidth="1" min="3" max="3"/>
    <col width="13.72" customWidth="1" min="4" max="4"/>
    <col width="13.72" customWidth="1" min="5" max="5"/>
    <col width="13.72" customWidth="1" min="6" max="6"/>
    <col width="13.72" customWidth="1" min="7" max="7"/>
  </cols>
  <sheetData>
    <row r="1" ht="17.35" customHeight="1">
      <c r="A1" s="1" t="inlineStr">
        <is>
          <t>Course-wise Training Infrastructure and Facilities</t>
        </is>
      </c>
    </row>
    <row r="3">
      <c r="A3" s="2" t="inlineStr">
        <is>
          <t>Course Name:</t>
        </is>
      </c>
      <c r="B3" s="2" t="inlineStr">
        <is>
          <t>Certificate course in PLC/PLC operation</t>
        </is>
      </c>
    </row>
    <row r="4" ht="26.85" customHeight="1">
      <c r="A4" s="2" t="inlineStr">
        <is>
          <t>Number of Trainees:</t>
        </is>
      </c>
      <c r="B4" s="2" t="n">
        <v>25</v>
      </c>
    </row>
    <row r="6">
      <c r="A6" s="3" t="inlineStr">
        <is>
          <t>Course-wise Training Space (Theoretical Classroom, Workshop/ Lab/ Classroom cum Workshop)</t>
        </is>
      </c>
    </row>
    <row r="7">
      <c r="B7" s="2" t="inlineStr">
        <is>
          <t>Course Name</t>
        </is>
      </c>
      <c r="C7" s="2" t="inlineStr">
        <is>
          <t>SICIP required space for 25 trainees</t>
        </is>
      </c>
      <c r="D7" s="11" t="n"/>
      <c r="E7" s="11" t="n"/>
      <c r="F7" s="11" t="n"/>
      <c r="G7" s="12" t="n"/>
    </row>
    <row r="8" ht="52.2" customHeight="1">
      <c r="B8" s="2" t="inlineStr">
        <is>
          <t>Certificate course in PLC/PLC operation</t>
        </is>
      </c>
      <c r="C8" s="4" t="inlineStr">
        <is>
          <t>Computer Lab : 400 sft
Workshop : 700-800 sft</t>
        </is>
      </c>
      <c r="D8" s="11" t="n"/>
      <c r="E8" s="11" t="n"/>
      <c r="F8" s="11" t="n"/>
      <c r="G8" s="12" t="n"/>
    </row>
    <row r="11">
      <c r="A11" s="3" t="inlineStr">
        <is>
          <t>Major Training Equipment and Training Facilities</t>
        </is>
      </c>
    </row>
    <row r="13" ht="115.65" customHeight="1">
      <c r="A13" s="5" t="inlineStr">
        <is>
          <t>•The institute shall not use the same facilities for any other projects/organizations offering a similar course.
•The institute must provide sufficient evidence to prove ownership of the proposed training equipment.
The list denotes the minimum training equipment and facility required to effectively conduct training for a specific course. Additionally, the institute must ensure that all other necessary training tools, equipment, and furniture are available to meet the requirement of competency standards (CS) provided by SICIP.
For the operation of training course on Certificate course in PLC/PLC operation, the institute must ensure the availability of at least 80% of the major training equipment and training facilities (according to the CS) to be eligible for SICIP training delivery. If the score is below 80%, the remaining equipment and facilities need to be installed before the commencement of the training.
The institute will also provide all other hand tools and power tools as per CS for 25 trainees. Also, they will arrange adequate seating arrangement and classroom setup for the 25 trainees.</t>
        </is>
      </c>
    </row>
    <row r="15" ht="26.85" customHeight="1">
      <c r="A15" s="6" t="inlineStr">
        <is>
          <t>S.N.</t>
        </is>
      </c>
      <c r="B15" s="6" t="inlineStr">
        <is>
          <t>Major Equipment and Training facilities</t>
        </is>
      </c>
      <c r="C15" s="6" t="inlineStr">
        <is>
          <t>Required facilities</t>
        </is>
      </c>
      <c r="D15" s="6" t="inlineStr">
        <is>
          <t>Available facilities</t>
        </is>
      </c>
      <c r="E15" s="6" t="inlineStr">
        <is>
          <t>Weights
(out of 10)</t>
        </is>
      </c>
      <c r="F15" s="6" t="inlineStr">
        <is>
          <t>Weighted scores</t>
        </is>
      </c>
      <c r="G15" s="6" t="inlineStr">
        <is>
          <t>Remarks</t>
        </is>
      </c>
    </row>
    <row r="16" ht="14.15" customHeight="1">
      <c r="A16" s="7" t="n">
        <v>1</v>
      </c>
      <c r="B16" s="8" t="inlineStr">
        <is>
          <t>Computer/Laptops with PLC software</t>
        </is>
      </c>
      <c r="C16" s="9" t="n">
        <v>25</v>
      </c>
      <c r="D16" s="9" t="n"/>
      <c r="E16" s="9" t="n">
        <v>9</v>
      </c>
      <c r="F16" s="9">
        <f>IFERROR(MIN(C16,D16)*E16/C16,0)</f>
        <v/>
      </c>
      <c r="G16" s="9" t="n"/>
    </row>
    <row r="17" ht="14.15" customHeight="1">
      <c r="A17" s="7" t="n">
        <v>2</v>
      </c>
      <c r="B17" s="8" t="inlineStr">
        <is>
          <t>HMI (Human-Machine Interface)</t>
        </is>
      </c>
      <c r="C17" s="9" t="n">
        <v>10</v>
      </c>
      <c r="D17" s="9" t="n"/>
      <c r="E17" s="9" t="n">
        <v>9</v>
      </c>
      <c r="F17" s="9">
        <f>IFERROR(MIN(C17,D17)*E17/C17,0)</f>
        <v/>
      </c>
      <c r="G17" s="9" t="n"/>
    </row>
    <row r="18" ht="14.15" customHeight="1">
      <c r="A18" s="7" t="n">
        <v>3</v>
      </c>
      <c r="B18" s="8" t="inlineStr">
        <is>
          <t>PLC with required modules (Siemens S7-1200, Mitsubishi and Delta)</t>
        </is>
      </c>
      <c r="C18" s="9" t="n">
        <v>10</v>
      </c>
      <c r="D18" s="9" t="n"/>
      <c r="E18" s="9" t="n">
        <v>10</v>
      </c>
      <c r="F18" s="9">
        <f>IFERROR(MIN(C18,D18)*E18/C18,0)</f>
        <v/>
      </c>
      <c r="G18" s="9" t="n"/>
    </row>
    <row r="19" ht="14.15" customHeight="1">
      <c r="A19" s="7" t="n">
        <v>4</v>
      </c>
      <c r="B19" s="8" t="inlineStr">
        <is>
          <t>PLC to HMI communication cable</t>
        </is>
      </c>
      <c r="C19" s="9" t="n">
        <v>10</v>
      </c>
      <c r="D19" s="9" t="n"/>
      <c r="E19" s="9" t="n">
        <v>5</v>
      </c>
      <c r="F19" s="9">
        <f>IFERROR(MIN(C19,D19)*E19/C19,0)</f>
        <v/>
      </c>
      <c r="G19" s="9" t="n"/>
    </row>
    <row r="20" ht="14.15" customHeight="1">
      <c r="A20" s="7" t="n">
        <v>5</v>
      </c>
      <c r="B20" s="8" t="inlineStr">
        <is>
          <t>PLC Programming cable</t>
        </is>
      </c>
      <c r="C20" s="9" t="n">
        <v>10</v>
      </c>
      <c r="D20" s="9" t="n"/>
      <c r="E20" s="9" t="n">
        <v>5</v>
      </c>
      <c r="F20" s="9">
        <f>IFERROR(MIN(C20,D20)*E20/C20,0)</f>
        <v/>
      </c>
      <c r="G20" s="9" t="n"/>
    </row>
    <row r="21" ht="14.15" customHeight="1">
      <c r="A21" s="7" t="n">
        <v>6</v>
      </c>
      <c r="B21" s="8" t="inlineStr">
        <is>
          <t>Limit Switch</t>
        </is>
      </c>
      <c r="C21" s="9" t="n">
        <v>25</v>
      </c>
      <c r="D21" s="9" t="n"/>
      <c r="E21" s="9" t="n">
        <v>5</v>
      </c>
      <c r="F21" s="9">
        <f>IFERROR(MIN(C21,D21)*E21/C21,0)</f>
        <v/>
      </c>
      <c r="G21" s="9" t="n"/>
    </row>
    <row r="22" ht="14.15" customHeight="1">
      <c r="A22" s="7" t="n">
        <v>7</v>
      </c>
      <c r="B22" s="8" t="inlineStr">
        <is>
          <t>Proximity Sensor</t>
        </is>
      </c>
      <c r="C22" s="9" t="n">
        <v>25</v>
      </c>
      <c r="D22" s="9" t="n"/>
      <c r="E22" s="9" t="n">
        <v>6</v>
      </c>
      <c r="F22" s="9">
        <f>IFERROR(MIN(C22,D22)*E22/C22,0)</f>
        <v/>
      </c>
      <c r="G22" s="9" t="n"/>
    </row>
    <row r="23" ht="14.15" customHeight="1">
      <c r="A23" s="7" t="n">
        <v>8</v>
      </c>
      <c r="B23" s="8" t="inlineStr">
        <is>
          <t>Photo Electric</t>
        </is>
      </c>
      <c r="C23" s="9" t="n">
        <v>25</v>
      </c>
      <c r="D23" s="9" t="n"/>
      <c r="E23" s="9" t="n">
        <v>6</v>
      </c>
      <c r="F23" s="9">
        <f>IFERROR(MIN(C23,D23)*E23/C23,0)</f>
        <v/>
      </c>
      <c r="G23" s="9" t="n"/>
    </row>
    <row r="24" ht="14.15" customHeight="1">
      <c r="A24" s="7" t="n">
        <v>9</v>
      </c>
      <c r="B24" s="8" t="inlineStr">
        <is>
          <t>Float Sensor</t>
        </is>
      </c>
      <c r="C24" s="9" t="n">
        <v>10</v>
      </c>
      <c r="D24" s="9" t="n"/>
      <c r="E24" s="9" t="n">
        <v>6</v>
      </c>
      <c r="F24" s="9">
        <f>IFERROR(MIN(C24,D24)*E24/C24,0)</f>
        <v/>
      </c>
      <c r="G24" s="9" t="n"/>
    </row>
    <row r="25" ht="14.15" customHeight="1">
      <c r="A25" s="7" t="n">
        <v>10</v>
      </c>
      <c r="B25" s="8" t="inlineStr">
        <is>
          <t>Pressure Sensor/Transmitter</t>
        </is>
      </c>
      <c r="C25" s="9" t="n">
        <v>10</v>
      </c>
      <c r="D25" s="9" t="n"/>
      <c r="E25" s="9" t="n">
        <v>6</v>
      </c>
      <c r="F25" s="9">
        <f>IFERROR(MIN(C25,D25)*E25/C25,0)</f>
        <v/>
      </c>
      <c r="G25" s="9" t="n"/>
    </row>
    <row r="26" ht="14.15" customHeight="1">
      <c r="A26" s="7" t="n">
        <v>11</v>
      </c>
      <c r="B26" s="8" t="inlineStr">
        <is>
          <t>Temperature Sensor RTD</t>
        </is>
      </c>
      <c r="C26" s="9" t="n">
        <v>10</v>
      </c>
      <c r="D26" s="9" t="n"/>
      <c r="E26" s="9" t="n">
        <v>6</v>
      </c>
      <c r="F26" s="9">
        <f>IFERROR(MIN(C26,D26)*E26/C26,0)</f>
        <v/>
      </c>
      <c r="G26" s="9" t="n"/>
    </row>
    <row r="27" ht="14.15" customHeight="1">
      <c r="A27" s="7" t="n">
        <v>12</v>
      </c>
      <c r="B27" s="8" t="inlineStr">
        <is>
          <t>Temperature Sensor Thermocouple</t>
        </is>
      </c>
      <c r="C27" s="9" t="n">
        <v>10</v>
      </c>
      <c r="D27" s="9" t="n"/>
      <c r="E27" s="9" t="n">
        <v>6</v>
      </c>
      <c r="F27" s="9">
        <f>IFERROR(MIN(C27,D27)*E27/C27,0)</f>
        <v/>
      </c>
      <c r="G27" s="9" t="n"/>
    </row>
    <row r="28" ht="14.15" customHeight="1">
      <c r="A28" s="7" t="n">
        <v>13</v>
      </c>
      <c r="B28" s="8" t="inlineStr">
        <is>
          <t>Push button switch (green)</t>
        </is>
      </c>
      <c r="C28" s="9" t="n">
        <v>50</v>
      </c>
      <c r="D28" s="9" t="n"/>
      <c r="E28" s="9" t="n">
        <v>3</v>
      </c>
      <c r="F28" s="9">
        <f>IFERROR(MIN(C28,D28)*E28/C28,0)</f>
        <v/>
      </c>
      <c r="G28" s="9" t="n"/>
    </row>
    <row r="29" ht="14.15" customHeight="1">
      <c r="A29" s="7" t="n">
        <v>14</v>
      </c>
      <c r="B29" s="8" t="inlineStr">
        <is>
          <t>Push button switch (red)</t>
        </is>
      </c>
      <c r="C29" s="9" t="n">
        <v>25</v>
      </c>
      <c r="D29" s="9" t="n"/>
      <c r="E29" s="9" t="n">
        <v>3</v>
      </c>
      <c r="F29" s="9">
        <f>IFERROR(MIN(C29,D29)*E29/C29,0)</f>
        <v/>
      </c>
      <c r="G29" s="9" t="n"/>
    </row>
    <row r="30" ht="14.15" customHeight="1">
      <c r="A30" s="7" t="n">
        <v>15</v>
      </c>
      <c r="B30" s="8" t="inlineStr">
        <is>
          <t>Selector switch</t>
        </is>
      </c>
      <c r="C30" s="9" t="n">
        <v>25</v>
      </c>
      <c r="D30" s="9" t="n"/>
      <c r="E30" s="9" t="n">
        <v>4</v>
      </c>
      <c r="F30" s="9">
        <f>IFERROR(MIN(C30,D30)*E30/C30,0)</f>
        <v/>
      </c>
      <c r="G30" s="9" t="n"/>
    </row>
    <row r="31" ht="14.15" customHeight="1">
      <c r="A31" s="7" t="n">
        <v>16</v>
      </c>
      <c r="B31" s="8" t="inlineStr">
        <is>
          <t>Emergency stop switch</t>
        </is>
      </c>
      <c r="C31" s="9" t="n">
        <v>25</v>
      </c>
      <c r="D31" s="9" t="n"/>
      <c r="E31" s="9" t="n">
        <v>4</v>
      </c>
      <c r="F31" s="9">
        <f>IFERROR(MIN(C31,D31)*E31/C31,0)</f>
        <v/>
      </c>
      <c r="G31" s="9" t="n"/>
    </row>
    <row r="32" ht="14.15" customHeight="1">
      <c r="A32" s="7" t="n">
        <v>17</v>
      </c>
      <c r="B32" s="8" t="inlineStr">
        <is>
          <t>Indication lamp</t>
        </is>
      </c>
      <c r="C32" s="9" t="n">
        <v>50</v>
      </c>
      <c r="D32" s="9" t="n"/>
      <c r="E32" s="9" t="n">
        <v>3</v>
      </c>
      <c r="F32" s="9">
        <f>IFERROR(MIN(C32,D32)*E32/C32,0)</f>
        <v/>
      </c>
      <c r="G32" s="9" t="n"/>
    </row>
    <row r="33" ht="14.15" customHeight="1">
      <c r="A33" s="7" t="n">
        <v>18</v>
      </c>
      <c r="B33" s="8" t="inlineStr">
        <is>
          <t>Magnetic contactor</t>
        </is>
      </c>
      <c r="C33" s="9" t="n">
        <v>100</v>
      </c>
      <c r="D33" s="9" t="n"/>
      <c r="E33" s="9" t="n">
        <v>5</v>
      </c>
      <c r="F33" s="9">
        <f>IFERROR(MIN(C33,D33)*E33/C33,0)</f>
        <v/>
      </c>
      <c r="G33" s="9" t="n"/>
    </row>
    <row r="34" ht="14.15" customHeight="1">
      <c r="A34" s="7" t="n">
        <v>19</v>
      </c>
      <c r="B34" s="8" t="inlineStr">
        <is>
          <t>Relay</t>
        </is>
      </c>
      <c r="C34" s="9" t="n">
        <v>100</v>
      </c>
      <c r="D34" s="9" t="n"/>
      <c r="E34" s="9" t="n">
        <v>5</v>
      </c>
      <c r="F34" s="9">
        <f>IFERROR(MIN(C34,D34)*E34/C34,0)</f>
        <v/>
      </c>
      <c r="G34" s="9" t="n"/>
    </row>
    <row r="35" ht="14.15" customHeight="1">
      <c r="A35" s="7" t="n">
        <v>20</v>
      </c>
      <c r="B35" s="8" t="inlineStr">
        <is>
          <t>Timer</t>
        </is>
      </c>
      <c r="C35" s="9" t="n">
        <v>100</v>
      </c>
      <c r="D35" s="9" t="n"/>
      <c r="E35" s="9" t="n">
        <v>5</v>
      </c>
      <c r="F35" s="9">
        <f>IFERROR(MIN(C35,D35)*E35/C35,0)</f>
        <v/>
      </c>
      <c r="G35" s="9" t="n"/>
    </row>
    <row r="36" ht="14.15" customHeight="1">
      <c r="A36" s="7" t="n">
        <v>21</v>
      </c>
      <c r="B36" s="8" t="inlineStr">
        <is>
          <t>Counter</t>
        </is>
      </c>
      <c r="C36" s="9" t="n">
        <v>25</v>
      </c>
      <c r="D36" s="9" t="n"/>
      <c r="E36" s="9" t="n">
        <v>5</v>
      </c>
      <c r="F36" s="9">
        <f>IFERROR(MIN(C36,D36)*E36/C36,0)</f>
        <v/>
      </c>
      <c r="G36" s="9" t="n"/>
    </row>
    <row r="37" ht="14.15" customHeight="1">
      <c r="A37" s="7" t="n">
        <v>22</v>
      </c>
      <c r="B37" s="8" t="inlineStr">
        <is>
          <t>Three phase induction motor</t>
        </is>
      </c>
      <c r="C37" s="9" t="n">
        <v>10</v>
      </c>
      <c r="D37" s="9" t="n"/>
      <c r="E37" s="9" t="n">
        <v>7</v>
      </c>
      <c r="F37" s="9">
        <f>IFERROR(MIN(C37,D37)*E37/C37,0)</f>
        <v/>
      </c>
      <c r="G37" s="9" t="n"/>
    </row>
    <row r="38" ht="14.15" customHeight="1">
      <c r="A38" s="7" t="n">
        <v>23</v>
      </c>
      <c r="B38" s="8" t="inlineStr">
        <is>
          <t>Single phase induction motor</t>
        </is>
      </c>
      <c r="C38" s="9" t="n">
        <v>5</v>
      </c>
      <c r="D38" s="9" t="n"/>
      <c r="E38" s="9" t="n">
        <v>6</v>
      </c>
      <c r="F38" s="9">
        <f>IFERROR(MIN(C38,D38)*E38/C38,0)</f>
        <v/>
      </c>
      <c r="G38" s="9" t="n"/>
    </row>
    <row r="39" ht="14.15" customHeight="1">
      <c r="A39" s="7" t="n">
        <v>24</v>
      </c>
      <c r="B39" s="8" t="inlineStr">
        <is>
          <t>VFDs-Variable Frequency Drives</t>
        </is>
      </c>
      <c r="C39" s="9" t="n">
        <v>10</v>
      </c>
      <c r="D39" s="9" t="n"/>
      <c r="E39" s="9" t="n">
        <v>7</v>
      </c>
      <c r="F39" s="9">
        <f>IFERROR(MIN(C39,D39)*E39/C39,0)</f>
        <v/>
      </c>
      <c r="G39" s="9" t="n"/>
    </row>
    <row r="40" ht="14.15" customHeight="1">
      <c r="A40" s="7" t="n">
        <v>25</v>
      </c>
      <c r="B40" s="8" t="inlineStr">
        <is>
          <t>Power supply</t>
        </is>
      </c>
      <c r="C40" s="9" t="n">
        <v>10</v>
      </c>
      <c r="D40" s="9" t="n"/>
      <c r="E40" s="9" t="n">
        <v>5</v>
      </c>
      <c r="F40" s="9">
        <f>IFERROR(MIN(C40,D40)*E40/C40,0)</f>
        <v/>
      </c>
      <c r="G40" s="9" t="n"/>
    </row>
    <row r="41" ht="14.15" customHeight="1">
      <c r="A41" s="7" t="n">
        <v>26</v>
      </c>
      <c r="B41" s="8" t="inlineStr">
        <is>
          <t>Automatic voltage stabilizer</t>
        </is>
      </c>
      <c r="C41" s="9" t="n">
        <v>1</v>
      </c>
      <c r="D41" s="9" t="n"/>
      <c r="E41" s="9" t="n">
        <v>5</v>
      </c>
      <c r="F41" s="9">
        <f>IFERROR(MIN(C41,D41)*E41/C41,0)</f>
        <v/>
      </c>
      <c r="G41" s="9" t="n"/>
    </row>
    <row r="42" ht="14.15" customHeight="1">
      <c r="A42" s="7" t="n">
        <v>27</v>
      </c>
      <c r="B42" s="8" t="inlineStr">
        <is>
          <t>Air compressor</t>
        </is>
      </c>
      <c r="C42" s="9" t="n">
        <v>1</v>
      </c>
      <c r="D42" s="9" t="n"/>
      <c r="E42" s="9" t="n">
        <v>6</v>
      </c>
      <c r="F42" s="9">
        <f>IFERROR(MIN(C42,D42)*E42/C42,0)</f>
        <v/>
      </c>
      <c r="G42" s="9" t="n"/>
    </row>
    <row r="43" ht="14.15" customHeight="1">
      <c r="A43" s="7" t="n">
        <v>28</v>
      </c>
      <c r="B43" s="8" t="inlineStr">
        <is>
          <t>Hydraulic power pack</t>
        </is>
      </c>
      <c r="C43" s="9" t="n">
        <v>1</v>
      </c>
      <c r="D43" s="9" t="n"/>
      <c r="E43" s="9" t="n">
        <v>6</v>
      </c>
      <c r="F43" s="9">
        <f>IFERROR(MIN(C43,D43)*E43/C43,0)</f>
        <v/>
      </c>
      <c r="G43" s="9" t="n"/>
    </row>
    <row r="44" ht="14.15" customHeight="1">
      <c r="A44" s="7" t="n">
        <v>29</v>
      </c>
      <c r="B44" s="8" t="inlineStr">
        <is>
          <t>Measuring devices set</t>
        </is>
      </c>
      <c r="C44" s="9" t="n">
        <v>1</v>
      </c>
      <c r="D44" s="9" t="n"/>
      <c r="E44" s="9" t="n">
        <v>5</v>
      </c>
      <c r="F44" s="9">
        <f>IFERROR(MIN(C44,D44)*E44/C44,0)</f>
        <v/>
      </c>
      <c r="G44" s="9" t="n"/>
    </row>
    <row r="45">
      <c r="A45" s="10" t="inlineStr">
        <is>
          <t>Sum</t>
        </is>
      </c>
      <c r="B45" s="11" t="n"/>
      <c r="C45" s="11" t="n"/>
      <c r="D45" s="12" t="n"/>
      <c r="E45" s="10">
        <f>SUM(E16:E44)</f>
        <v/>
      </c>
      <c r="F45" s="10">
        <f>SUM(F16:F44)</f>
        <v/>
      </c>
      <c r="G45" s="13" t="n"/>
    </row>
    <row r="46">
      <c r="A46" s="10" t="inlineStr">
        <is>
          <t>Score out of 100</t>
        </is>
      </c>
      <c r="B46" s="11" t="n"/>
      <c r="C46" s="11" t="n"/>
      <c r="D46" s="11" t="n"/>
      <c r="E46" s="12" t="n"/>
      <c r="F46" s="10">
        <f>F45/E45*100</f>
        <v/>
      </c>
      <c r="G46" s="13" t="n"/>
    </row>
    <row r="47" ht="9.75" customHeight="1"/>
    <row r="48">
      <c r="A48" s="10" t="inlineStr">
        <is>
          <t xml:space="preserve">Total achieved points out of 30  </t>
        </is>
      </c>
      <c r="B48" s="11" t="n"/>
      <c r="C48" s="11" t="n"/>
      <c r="D48" s="11" t="n"/>
      <c r="E48" s="12" t="n"/>
      <c r="F48" s="10">
        <f>F46*30/100</f>
        <v/>
      </c>
      <c r="G48" s="10" t="inlineStr">
        <is>
          <t>Points</t>
        </is>
      </c>
    </row>
  </sheetData>
  <mergeCells count="8">
    <mergeCell ref="A45:D45"/>
    <mergeCell ref="A13:G13"/>
    <mergeCell ref="C7:G7"/>
    <mergeCell ref="A1:G1"/>
    <mergeCell ref="A48:E48"/>
    <mergeCell ref="A46:E46"/>
    <mergeCell ref="C8:G8"/>
    <mergeCell ref="A47:G47"/>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2026-08-17T07:23:46Z</dcterms:created>
  <dcterms:modified xmlns:dcterms="http://purl.org/dc/terms/" xmlns:xsi="http://www.w3.org/2001/XMLSchema-instance" xsi:type="dcterms:W3CDTF">2026-08-20T03:29:14Z</dcterms:modified>
</cp:coreProperties>
</file>
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eater Linking Oper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Sweater Linking Operation</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Sweater Linking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Sweater Linking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Internet connectivity</t>
        </is>
      </c>
      <c r="C18" s="9" t="n">
        <v>1</v>
      </c>
      <c r="D18" s="9" t="n"/>
      <c r="E18" s="9" t="n">
        <v>5</v>
      </c>
      <c r="F18" s="9">
        <f>IFERROR(MIN(C18,D18)*E18/C18,0)</f>
        <v/>
      </c>
      <c r="G18" s="9" t="n"/>
    </row>
    <row r="19" ht="14.15" customHeight="1">
      <c r="A19" s="7" t="n">
        <v>4</v>
      </c>
      <c r="B19" s="8" t="inlineStr">
        <is>
          <t>White board</t>
        </is>
      </c>
      <c r="C19" s="9" t="n">
        <v>1</v>
      </c>
      <c r="D19" s="9" t="n"/>
      <c r="E19" s="9" t="n">
        <v>3</v>
      </c>
      <c r="F19" s="9">
        <f>IFERROR(MIN(C19,D19)*E19/C19,0)</f>
        <v/>
      </c>
      <c r="G19" s="9" t="n"/>
    </row>
    <row r="20" ht="14.15" customHeight="1">
      <c r="A20" s="7" t="n">
        <v>5</v>
      </c>
      <c r="B20" s="8" t="inlineStr">
        <is>
          <t>Display board with sweater parts and samples</t>
        </is>
      </c>
      <c r="C20" s="9" t="n">
        <v>1</v>
      </c>
      <c r="D20" s="9" t="n"/>
      <c r="E20" s="9" t="n">
        <v>5</v>
      </c>
      <c r="F20" s="9">
        <f>IFERROR(MIN(C20,D20)*E20/C20,0)</f>
        <v/>
      </c>
      <c r="G20" s="9" t="n"/>
    </row>
    <row r="21" ht="14.15" customHeight="1">
      <c r="A21" s="7" t="n">
        <v>6</v>
      </c>
      <c r="B21" s="8" t="inlineStr">
        <is>
          <t>Sweater Linking Machine (Dial)</t>
        </is>
      </c>
      <c r="C21" s="9" t="n">
        <v>30</v>
      </c>
      <c r="D21" s="9" t="n"/>
      <c r="E21" s="9" t="n">
        <v>9</v>
      </c>
      <c r="F21" s="9">
        <f>IFERROR(MIN(C21,D21)*E21/C21,0)</f>
        <v/>
      </c>
      <c r="G21" s="9" t="n"/>
    </row>
    <row r="22" ht="14.15" customHeight="1">
      <c r="A22" s="7" t="n">
        <v>7</v>
      </c>
      <c r="B22" s="8" t="inlineStr">
        <is>
          <t>Sweater Linking Machine (Cup seam)</t>
        </is>
      </c>
      <c r="C22" s="9" t="n">
        <v>1</v>
      </c>
      <c r="D22" s="9" t="n"/>
      <c r="E22" s="9" t="n">
        <v>8</v>
      </c>
      <c r="F22" s="9">
        <f>IFERROR(MIN(C22,D22)*E22/C22,0)</f>
        <v/>
      </c>
      <c r="G22" s="9" t="n"/>
    </row>
    <row r="23" ht="14.15" customHeight="1">
      <c r="A23" s="7" t="n">
        <v>8</v>
      </c>
      <c r="B23" s="8" t="inlineStr">
        <is>
          <t>Sweater Linking Machine (Super dial)</t>
        </is>
      </c>
      <c r="C23" s="9" t="n">
        <v>1</v>
      </c>
      <c r="D23" s="9" t="n"/>
      <c r="E23" s="9" t="n">
        <v>8</v>
      </c>
      <c r="F23" s="9">
        <f>IFERROR(MIN(C23,D23)*E23/C23,0)</f>
        <v/>
      </c>
      <c r="G23" s="9" t="n"/>
    </row>
    <row r="24">
      <c r="A24" s="10" t="inlineStr">
        <is>
          <t>Sum</t>
        </is>
      </c>
      <c r="B24" s="11" t="n"/>
      <c r="C24" s="11" t="n"/>
      <c r="D24" s="12" t="n"/>
      <c r="E24" s="10">
        <f>SUM(E16:E23)</f>
        <v/>
      </c>
      <c r="F24" s="10">
        <f>SUM(F16:F23)</f>
        <v/>
      </c>
      <c r="G24" s="13" t="n"/>
    </row>
    <row r="25">
      <c r="A25" s="10" t="inlineStr">
        <is>
          <t>Score out of 100</t>
        </is>
      </c>
      <c r="B25" s="11" t="n"/>
      <c r="C25" s="11" t="n"/>
      <c r="D25" s="11" t="n"/>
      <c r="E25" s="12" t="n"/>
      <c r="F25" s="10">
        <f>F24/E24*100</f>
        <v/>
      </c>
      <c r="G25" s="13" t="n"/>
    </row>
    <row r="26" ht="9.75" customHeight="1"/>
    <row r="27">
      <c r="A27" s="10" t="inlineStr">
        <is>
          <t xml:space="preserve">Total achieved points out of 30  </t>
        </is>
      </c>
      <c r="B27" s="11" t="n"/>
      <c r="C27" s="11" t="n"/>
      <c r="D27" s="11" t="n"/>
      <c r="E27" s="12" t="n"/>
      <c r="F27" s="10">
        <f>F25*30/100</f>
        <v/>
      </c>
      <c r="G27" s="10" t="inlineStr">
        <is>
          <t>Points</t>
        </is>
      </c>
    </row>
  </sheetData>
  <mergeCells count="8">
    <mergeCell ref="A13:G13"/>
    <mergeCell ref="C7:G7"/>
    <mergeCell ref="A1:G1"/>
    <mergeCell ref="A25:E25"/>
    <mergeCell ref="A26:G26"/>
    <mergeCell ref="A24:D24"/>
    <mergeCell ref="C8:G8"/>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2026-08-20T03:29:14Z</dcterms:modified>
</cp:coreProperties>
</file>
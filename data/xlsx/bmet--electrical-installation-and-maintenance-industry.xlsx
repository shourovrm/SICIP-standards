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IM Industry"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Wiring Board</t>
        </is>
      </c>
      <c r="C18" s="9" t="n">
        <v>20</v>
      </c>
      <c r="D18" s="9" t="n"/>
      <c r="E18" s="9" t="n">
        <v>8</v>
      </c>
      <c r="F18" s="9">
        <f>IFERROR(MIN(C18,D18)*E18/C18,0)</f>
        <v/>
      </c>
      <c r="G18" s="9" t="n"/>
    </row>
    <row r="19" ht="14.15" customHeight="1">
      <c r="A19" s="7" t="n">
        <v>4</v>
      </c>
      <c r="B19" s="8" t="inlineStr">
        <is>
          <t>Motor Coil Rewinding machine</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 panel</t>
        </is>
      </c>
      <c r="C22" s="9" t="n">
        <v>4</v>
      </c>
      <c r="D22" s="9" t="n"/>
      <c r="E22" s="9" t="n">
        <v>7</v>
      </c>
      <c r="F22" s="9">
        <f>IFERROR(MIN(C22,D22)*E22/C22,0)</f>
        <v/>
      </c>
      <c r="G22" s="9" t="n"/>
    </row>
    <row r="23" ht="14.15" customHeight="1">
      <c r="A23" s="7" t="n">
        <v>8</v>
      </c>
      <c r="B23" s="8" t="inlineStr">
        <is>
          <t>Star Delta Starter panel</t>
        </is>
      </c>
      <c r="C23" s="9" t="n">
        <v>2</v>
      </c>
      <c r="D23" s="9" t="n"/>
      <c r="E23" s="9" t="n">
        <v>7</v>
      </c>
      <c r="F23" s="9">
        <f>IFERROR(MIN(C23,D23)*E23/C23,0)</f>
        <v/>
      </c>
      <c r="G23" s="9" t="n"/>
    </row>
    <row r="24" ht="14.15" customHeight="1">
      <c r="A24" s="7" t="n">
        <v>9</v>
      </c>
      <c r="B24" s="8" t="inlineStr">
        <is>
          <t>Reverse Forward Starter panel</t>
        </is>
      </c>
      <c r="C24" s="9" t="n">
        <v>2</v>
      </c>
      <c r="D24" s="9" t="n"/>
      <c r="E24" s="9" t="n">
        <v>7</v>
      </c>
      <c r="F24" s="9">
        <f>IFERROR(MIN(C24,D24)*E24/C24,0)</f>
        <v/>
      </c>
      <c r="G24" s="9" t="n"/>
    </row>
    <row r="25" ht="14.15" customHeight="1">
      <c r="A25" s="7" t="n">
        <v>10</v>
      </c>
      <c r="B25" s="8" t="inlineStr">
        <is>
          <t>Magnetic contactor (coil voltage 220V and 400V)</t>
        </is>
      </c>
      <c r="C25" s="9" t="n">
        <v>20</v>
      </c>
      <c r="D25" s="9" t="n"/>
      <c r="E25" s="9" t="n">
        <v>6</v>
      </c>
      <c r="F25" s="9">
        <f>IFERROR(MIN(C25,D25)*E25/C25,0)</f>
        <v/>
      </c>
      <c r="G25" s="9" t="n"/>
    </row>
    <row r="26" ht="14.15" customHeight="1">
      <c r="A26" s="7" t="n">
        <v>11</v>
      </c>
      <c r="B26" s="8" t="inlineStr">
        <is>
          <t>Relay</t>
        </is>
      </c>
      <c r="C26" s="9" t="n">
        <v>10</v>
      </c>
      <c r="D26" s="9" t="n"/>
      <c r="E26" s="9" t="n">
        <v>5</v>
      </c>
      <c r="F26" s="9">
        <f>IFERROR(MIN(C26,D26)*E26/C26,0)</f>
        <v/>
      </c>
      <c r="G26" s="9" t="n"/>
    </row>
    <row r="27" ht="14.15" customHeight="1">
      <c r="A27" s="7" t="n">
        <v>12</v>
      </c>
      <c r="B27" s="8" t="inlineStr">
        <is>
          <t>Timer</t>
        </is>
      </c>
      <c r="C27" s="9" t="n">
        <v>10</v>
      </c>
      <c r="D27" s="9" t="n"/>
      <c r="E27" s="9" t="n">
        <v>4</v>
      </c>
      <c r="F27" s="9">
        <f>IFERROR(MIN(C27,D27)*E27/C27,0)</f>
        <v/>
      </c>
      <c r="G27" s="9" t="n"/>
    </row>
    <row r="28" ht="14.15" customHeight="1">
      <c r="A28" s="7" t="n">
        <v>13</v>
      </c>
      <c r="B28" s="8" t="inlineStr">
        <is>
          <t>Pilot lamp &amp; Push switch</t>
        </is>
      </c>
      <c r="C28" s="9" t="n">
        <v>20</v>
      </c>
      <c r="D28" s="9" t="n"/>
      <c r="E28" s="9" t="n">
        <v>3</v>
      </c>
      <c r="F28" s="9">
        <f>IFERROR(MIN(C28,D28)*E28/C28,0)</f>
        <v/>
      </c>
      <c r="G28" s="9" t="n"/>
    </row>
    <row r="29" ht="14.15" customHeight="1">
      <c r="A29" s="7" t="n">
        <v>14</v>
      </c>
      <c r="B29" s="8" t="inlineStr">
        <is>
          <t>Push switch</t>
        </is>
      </c>
      <c r="C29" s="9" t="n">
        <v>30</v>
      </c>
      <c r="D29" s="9" t="n"/>
      <c r="E29" s="9" t="n">
        <v>3</v>
      </c>
      <c r="F29" s="9">
        <f>IFERROR(MIN(C29,D29)*E29/C29,0)</f>
        <v/>
      </c>
      <c r="G29" s="9" t="n"/>
    </row>
    <row r="30" ht="14.15" customHeight="1">
      <c r="A30" s="7" t="n">
        <v>15</v>
      </c>
      <c r="B30" s="8" t="inlineStr">
        <is>
          <t>Generator (Minimum 2 KW)</t>
        </is>
      </c>
      <c r="C30" s="9" t="n">
        <v>1</v>
      </c>
      <c r="D30" s="9" t="n"/>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c r="E31" s="9" t="n">
        <v>8</v>
      </c>
      <c r="F31" s="9">
        <f>IFERROR(MIN(C31,D31)*E31/C31,0)</f>
        <v/>
      </c>
      <c r="G31" s="9" t="n"/>
    </row>
    <row r="32" ht="14.15" customHeight="1">
      <c r="A32" s="7" t="n">
        <v>17</v>
      </c>
      <c r="B32" s="8" t="inlineStr">
        <is>
          <t>Electric drill machine</t>
        </is>
      </c>
      <c r="C32" s="9" t="n">
        <v>5</v>
      </c>
      <c r="D32" s="9" t="n"/>
      <c r="E32" s="9" t="n">
        <v>5</v>
      </c>
      <c r="F32" s="9">
        <f>IFERROR(MIN(C32,D32)*E32/C32,0)</f>
        <v/>
      </c>
      <c r="G32" s="9" t="n"/>
    </row>
    <row r="33" ht="14.15" customHeight="1">
      <c r="A33" s="7" t="n">
        <v>18</v>
      </c>
      <c r="B33" s="8" t="inlineStr">
        <is>
          <t>Electric grinding machine</t>
        </is>
      </c>
      <c r="C33" s="9" t="n">
        <v>2</v>
      </c>
      <c r="D33" s="9" t="n"/>
      <c r="E33" s="9" t="n">
        <v>5</v>
      </c>
      <c r="F33" s="9">
        <f>IFERROR(MIN(C33,D33)*E33/C33,0)</f>
        <v/>
      </c>
      <c r="G33" s="9" t="n"/>
    </row>
    <row r="34" ht="14.15" customHeight="1">
      <c r="A34" s="7" t="n">
        <v>19</v>
      </c>
      <c r="B34" s="8" t="inlineStr">
        <is>
          <t>Soldering Stations</t>
        </is>
      </c>
      <c r="C34" s="9" t="n">
        <v>5</v>
      </c>
      <c r="D34" s="9" t="n"/>
      <c r="E34" s="9" t="n">
        <v>4</v>
      </c>
      <c r="F34" s="9">
        <f>IFERROR(MIN(C34,D34)*E34/C34,0)</f>
        <v/>
      </c>
      <c r="G34" s="9" t="n"/>
    </row>
    <row r="35" ht="14.15" customHeight="1">
      <c r="A35" s="7" t="n">
        <v>20</v>
      </c>
      <c r="B35" s="8" t="inlineStr">
        <is>
          <t>Energy Meter (1 Phase)</t>
        </is>
      </c>
      <c r="C35" s="9" t="n">
        <v>10</v>
      </c>
      <c r="D35" s="9" t="n"/>
      <c r="E35" s="9" t="n">
        <v>6</v>
      </c>
      <c r="F35" s="9">
        <f>IFERROR(MIN(C35,D35)*E35/C35,0)</f>
        <v/>
      </c>
      <c r="G35" s="9" t="n"/>
    </row>
    <row r="36" ht="14.15" customHeight="1">
      <c r="A36" s="7" t="n">
        <v>21</v>
      </c>
      <c r="B36" s="8" t="inlineStr">
        <is>
          <t>Energy Meter (3 Phase)</t>
        </is>
      </c>
      <c r="C36" s="9" t="n">
        <v>5</v>
      </c>
      <c r="D36" s="9" t="n"/>
      <c r="E36" s="9" t="n">
        <v>6</v>
      </c>
      <c r="F36" s="9">
        <f>IFERROR(MIN(C36,D36)*E36/C36,0)</f>
        <v/>
      </c>
      <c r="G36" s="9" t="n"/>
    </row>
    <row r="37" ht="14.15" customHeight="1">
      <c r="A37" s="7" t="n">
        <v>22</v>
      </c>
      <c r="B37" s="8" t="inlineStr">
        <is>
          <t>Multi meter/AVO meter</t>
        </is>
      </c>
      <c r="C37" s="9" t="n">
        <v>10</v>
      </c>
      <c r="D37" s="9" t="n"/>
      <c r="E37" s="9" t="n">
        <v>6</v>
      </c>
      <c r="F37" s="9">
        <f>IFERROR(MIN(C37,D37)*E37/C37,0)</f>
        <v/>
      </c>
      <c r="G37" s="9" t="n"/>
    </row>
    <row r="38" ht="14.15" customHeight="1">
      <c r="A38" s="7" t="n">
        <v>23</v>
      </c>
      <c r="B38" s="8" t="inlineStr">
        <is>
          <t>Earth tester</t>
        </is>
      </c>
      <c r="C38" s="9" t="n">
        <v>2</v>
      </c>
      <c r="D38" s="9" t="n"/>
      <c r="E38" s="9" t="n">
        <v>6</v>
      </c>
      <c r="F38" s="9">
        <f>IFERROR(MIN(C38,D38)*E38/C38,0)</f>
        <v/>
      </c>
      <c r="G38" s="9" t="n"/>
    </row>
    <row r="39" ht="14.15" customHeight="1">
      <c r="A39" s="7" t="n">
        <v>24</v>
      </c>
      <c r="B39" s="8" t="inlineStr">
        <is>
          <t>Digital weight machine</t>
        </is>
      </c>
      <c r="C39" s="9" t="n">
        <v>1</v>
      </c>
      <c r="D39" s="9" t="n"/>
      <c r="E39" s="9" t="n">
        <v>3</v>
      </c>
      <c r="F39" s="9">
        <f>IFERROR(MIN(C39,D39)*E39/C39,0)</f>
        <v/>
      </c>
      <c r="G39" s="9" t="n"/>
    </row>
    <row r="40" ht="14.15" customHeight="1">
      <c r="A40" s="7" t="n">
        <v>25</v>
      </c>
      <c r="B40" s="8" t="inlineStr">
        <is>
          <t>Insulation tester</t>
        </is>
      </c>
      <c r="C40" s="9" t="n">
        <v>2</v>
      </c>
      <c r="D40" s="9" t="n"/>
      <c r="E40" s="9" t="n">
        <v>6</v>
      </c>
      <c r="F40" s="9">
        <f>IFERROR(MIN(C40,D40)*E40/C40,0)</f>
        <v/>
      </c>
      <c r="G40" s="9" t="n"/>
    </row>
    <row r="41" ht="14.15" customHeight="1">
      <c r="A41" s="7" t="n">
        <v>26</v>
      </c>
      <c r="B41" s="8" t="inlineStr">
        <is>
          <t>Tachometer</t>
        </is>
      </c>
      <c r="C41" s="9" t="n">
        <v>2</v>
      </c>
      <c r="D41" s="9" t="n"/>
      <c r="E41" s="9" t="n">
        <v>4</v>
      </c>
      <c r="F41" s="9">
        <f>IFERROR(MIN(C41,D41)*E41/C41,0)</f>
        <v/>
      </c>
      <c r="G41" s="9" t="n"/>
    </row>
    <row r="42" ht="14.15" customHeight="1">
      <c r="A42" s="7" t="n">
        <v>27</v>
      </c>
      <c r="B42" s="8" t="inlineStr">
        <is>
          <t>Clamp Meter</t>
        </is>
      </c>
      <c r="C42" s="9" t="n">
        <v>2</v>
      </c>
      <c r="D42" s="9" t="n"/>
      <c r="E42" s="9" t="n">
        <v>5</v>
      </c>
      <c r="F42" s="9">
        <f>IFERROR(MIN(C42,D42)*E42/C42,0)</f>
        <v/>
      </c>
      <c r="G42" s="9" t="n"/>
    </row>
    <row r="43" ht="14.15" customHeight="1">
      <c r="A43" s="7" t="n">
        <v>28</v>
      </c>
      <c r="B43" s="8" t="inlineStr">
        <is>
          <t>Phase sequence meter</t>
        </is>
      </c>
      <c r="C43" s="9" t="n">
        <v>1</v>
      </c>
      <c r="D43" s="9" t="n"/>
      <c r="E43" s="9" t="n">
        <v>5</v>
      </c>
      <c r="F43" s="9">
        <f>IFERROR(MIN(C43,D43)*E43/C43,0)</f>
        <v/>
      </c>
      <c r="G43" s="9" t="n"/>
    </row>
    <row r="44" ht="14.15" customHeight="1">
      <c r="A44" s="7" t="n">
        <v>29</v>
      </c>
      <c r="B44" s="8" t="inlineStr">
        <is>
          <t>Single phase induction motor</t>
        </is>
      </c>
      <c r="C44" s="9" t="n">
        <v>4</v>
      </c>
      <c r="D44" s="9" t="n"/>
      <c r="E44" s="9" t="n">
        <v>7</v>
      </c>
      <c r="F44" s="9">
        <f>IFERROR(MIN(C44,D44)*E44/C44,0)</f>
        <v/>
      </c>
      <c r="G44" s="9" t="n"/>
    </row>
    <row r="45" ht="14.15" customHeight="1">
      <c r="A45" s="7" t="n">
        <v>30</v>
      </c>
      <c r="B45" s="8" t="inlineStr">
        <is>
          <t>Three phase induction motor (minimum 3hp)</t>
        </is>
      </c>
      <c r="C45" s="9" t="n">
        <v>4</v>
      </c>
      <c r="D45" s="9" t="n"/>
      <c r="E45" s="9" t="n">
        <v>7</v>
      </c>
      <c r="F45" s="9">
        <f>IFERROR(MIN(C45,D45)*E45/C45,0)</f>
        <v/>
      </c>
      <c r="G45" s="9" t="n"/>
    </row>
    <row r="46" ht="14.15" customHeight="1">
      <c r="A46" s="7" t="n">
        <v>31</v>
      </c>
      <c r="B46" s="8" t="inlineStr">
        <is>
          <t>Ceiling fan</t>
        </is>
      </c>
      <c r="C46" s="9" t="n">
        <v>10</v>
      </c>
      <c r="D46" s="9" t="n"/>
      <c r="E46" s="9" t="n">
        <v>4</v>
      </c>
      <c r="F46" s="9">
        <f>IFERROR(MIN(C46,D46)*E46/C46,0)</f>
        <v/>
      </c>
      <c r="G46" s="9" t="n"/>
    </row>
    <row r="47" ht="14.15" customHeight="1">
      <c r="A47" s="7" t="n">
        <v>32</v>
      </c>
      <c r="B47" s="8" t="inlineStr">
        <is>
          <t>Table fan</t>
        </is>
      </c>
      <c r="C47" s="9" t="n">
        <v>4</v>
      </c>
      <c r="D47" s="9" t="n"/>
      <c r="E47" s="9" t="n">
        <v>3</v>
      </c>
      <c r="F47" s="9">
        <f>IFERROR(MIN(C47,D47)*E47/C47,0)</f>
        <v/>
      </c>
      <c r="G47" s="9" t="n"/>
    </row>
    <row r="48" ht="14.15" customHeight="1">
      <c r="A48" s="7" t="n">
        <v>33</v>
      </c>
      <c r="B48" s="8" t="inlineStr">
        <is>
          <t>Bench Vice</t>
        </is>
      </c>
      <c r="C48" s="9" t="n">
        <v>5</v>
      </c>
      <c r="D48" s="9" t="n"/>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2026-08-20T03:29:20Z</dcterms:modified>
</cp:coreProperties>
</file>